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yeshw\Desktop\New folder\"/>
    </mc:Choice>
  </mc:AlternateContent>
  <xr:revisionPtr revIDLastSave="0" documentId="13_ncr:1_{3BBDB4B2-6B2E-4BD3-88E8-22F99F594433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Sheet3" sheetId="5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7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3" i="1"/>
  <c r="I2" i="1"/>
  <c r="H19" i="1" l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4" i="1"/>
  <c r="H3" i="1"/>
  <c r="H2" i="1"/>
  <c r="G94" i="1"/>
  <c r="F98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6" i="1"/>
  <c r="G7" i="1"/>
  <c r="G8" i="1"/>
  <c r="G9" i="1"/>
  <c r="G10" i="1"/>
  <c r="G11" i="1"/>
  <c r="G12" i="1"/>
  <c r="G13" i="1"/>
  <c r="G14" i="1"/>
  <c r="G2" i="1"/>
  <c r="G5" i="1"/>
  <c r="G4" i="1"/>
  <c r="G3" i="1"/>
  <c r="F10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9" i="1"/>
  <c r="F100" i="1"/>
  <c r="F101" i="1"/>
  <c r="F4" i="1"/>
  <c r="F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4" i="1"/>
  <c r="E3" i="1"/>
  <c r="D103" i="1"/>
  <c r="D102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9" i="1"/>
  <c r="D20" i="1"/>
  <c r="D21" i="1"/>
  <c r="D22" i="1"/>
  <c r="D23" i="1"/>
  <c r="D24" i="1"/>
  <c r="D25" i="1"/>
  <c r="D18" i="1"/>
  <c r="D14" i="1"/>
  <c r="D15" i="1"/>
  <c r="D16" i="1"/>
  <c r="D17" i="1"/>
  <c r="D3" i="1"/>
  <c r="D4" i="1"/>
  <c r="D10" i="1" l="1"/>
  <c r="D11" i="1"/>
  <c r="D12" i="1"/>
  <c r="D13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<sst xmlns="http://schemas.openxmlformats.org/spreadsheetml/2006/main" count="152" uniqueCount="44">
  <si>
    <t>year</t>
  </si>
  <si>
    <t>quarter</t>
  </si>
  <si>
    <t>SALES(yt)</t>
  </si>
  <si>
    <t>moving average(ma)</t>
  </si>
  <si>
    <t>centered moving average(cma)</t>
  </si>
  <si>
    <t>Base,Middle line</t>
  </si>
  <si>
    <t>Yt/c.m.a</t>
  </si>
  <si>
    <t>st*It</t>
  </si>
  <si>
    <t>yt/st(de-seasonalized data)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</si>
  <si>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</si>
  <si>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</si>
  <si>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</si>
  <si>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</si>
  <si>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</si>
  <si>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</si>
  <si>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</si>
  <si>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</si>
  <si>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</si>
  <si>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</si>
  <si>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</si>
  <si>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</si>
  <si>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</si>
  <si>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</si>
  <si>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</si>
  <si>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</si>
  <si>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</si>
  <si>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</si>
  <si>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</si>
  <si>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</si>
  <si>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</si>
  <si>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</si>
  <si>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</si>
  <si>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</si>
  <si>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</si>
  <si>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time code</t>
  </si>
  <si>
    <t>Sales predicted(yp)</t>
  </si>
  <si>
    <t>st(seasonal component)</t>
  </si>
  <si>
    <t>?</t>
  </si>
  <si>
    <t>q1</t>
  </si>
  <si>
    <t>q2</t>
  </si>
  <si>
    <t>q3</t>
  </si>
  <si>
    <t>q4</t>
  </si>
  <si>
    <t>intercept+StandardError*time-code(Auto regreesion)=trend</t>
  </si>
  <si>
    <t>ECONOMY OF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</si>
</sst>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4" fontId="4" fillId="0" borderId="0" xfId="0" applyNumberFormat="1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52D2-22BB-4949-8D23-0B691FB30FC3}">
  <dimension ref="A1:I18"/>
  <sheetViews>
    <sheetView workbookViewId="0">
      <selection activeCell="A7" sqref="A7"/>
    </sheetView>
  </sheetViews>
  <sheetFormatPr defaultRowHeight="14.5" x14ac:dyDescent="0.35"/>
  <sheetData>
    <row r="1" spans="1:9" x14ac:dyDescent="0.35">
      <c r="A1" t="s">
        <v>9</v>
      </c>
    </row>
    <row r="2" spans="1:9" ht="15" thickBot="1" x14ac:dyDescent="0.4"/>
    <row r="3" spans="1:9" x14ac:dyDescent="0.35">
      <c r="A3" s="4" t="s">
        <v>10</v>
      </c>
      <c r="B3" s="4"/>
    </row>
    <row r="4" spans="1:9" x14ac:dyDescent="0.35">
      <c r="A4" s="1" t="s">
        <v>11</v>
      </c>
      <c r="B4" s="1">
        <v>0.99940667827148799</v>
      </c>
    </row>
    <row r="5" spans="1:9" x14ac:dyDescent="0.35">
      <c r="A5" s="1" t="s">
        <v>12</v>
      </c>
      <c r="B5" s="1">
        <v>0.99881370857364948</v>
      </c>
    </row>
    <row r="6" spans="1:9" x14ac:dyDescent="0.35">
      <c r="A6" s="1" t="s">
        <v>13</v>
      </c>
      <c r="B6" s="1">
        <v>0.9988020782655479</v>
      </c>
    </row>
    <row r="7" spans="1:9" x14ac:dyDescent="0.35">
      <c r="A7" s="1" t="s">
        <v>14</v>
      </c>
      <c r="B7" s="1">
        <v>7.036414664025016</v>
      </c>
    </row>
    <row r="8" spans="1:9" ht="15" thickBot="1" x14ac:dyDescent="0.4">
      <c r="A8" s="2" t="s">
        <v>15</v>
      </c>
      <c r="B8" s="2">
        <v>104</v>
      </c>
    </row>
    <row r="10" spans="1:9" ht="15" thickBot="1" x14ac:dyDescent="0.4">
      <c r="A10" t="s">
        <v>16</v>
      </c>
    </row>
    <row r="11" spans="1:9" x14ac:dyDescent="0.35">
      <c r="A11" s="3"/>
      <c r="B11" s="3" t="s">
        <v>21</v>
      </c>
      <c r="C11" s="3" t="s">
        <v>22</v>
      </c>
      <c r="D11" s="3" t="s">
        <v>23</v>
      </c>
      <c r="E11" s="3" t="s">
        <v>24</v>
      </c>
      <c r="F11" s="3" t="s">
        <v>25</v>
      </c>
    </row>
    <row r="12" spans="1:9" x14ac:dyDescent="0.35">
      <c r="A12" s="1" t="s">
        <v>17</v>
      </c>
      <c r="B12" s="1">
        <v>1</v>
      </c>
      <c r="C12" s="1">
        <v>4252028.0857587876</v>
      </c>
      <c r="D12" s="1">
        <v>4252028.0857587876</v>
      </c>
      <c r="E12" s="1">
        <v>85880.244947837302</v>
      </c>
      <c r="F12" s="1">
        <v>4.7928000680269858E-151</v>
      </c>
    </row>
    <row r="13" spans="1:9" x14ac:dyDescent="0.35">
      <c r="A13" s="1" t="s">
        <v>18</v>
      </c>
      <c r="B13" s="1">
        <v>102</v>
      </c>
      <c r="C13" s="1">
        <v>5050.1353950588409</v>
      </c>
      <c r="D13" s="1">
        <v>49.51113132410628</v>
      </c>
      <c r="E13" s="1"/>
      <c r="F13" s="1"/>
    </row>
    <row r="14" spans="1:9" ht="15" thickBot="1" x14ac:dyDescent="0.4">
      <c r="A14" s="2" t="s">
        <v>19</v>
      </c>
      <c r="B14" s="2">
        <v>103</v>
      </c>
      <c r="C14" s="2">
        <v>4257078.221153846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26</v>
      </c>
      <c r="C16" s="3" t="s">
        <v>14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32</v>
      </c>
    </row>
    <row r="17" spans="1:9" x14ac:dyDescent="0.35">
      <c r="A17" s="1" t="s">
        <v>20</v>
      </c>
      <c r="B17" s="1">
        <v>0.12007999104144999</v>
      </c>
      <c r="C17" s="1">
        <v>1.2716712396135805</v>
      </c>
      <c r="D17" s="1">
        <v>9.4426914206173829E-2</v>
      </c>
      <c r="E17" s="1">
        <v>0.92495528441945107</v>
      </c>
      <c r="F17" s="1">
        <v>-2.4022738831828683</v>
      </c>
      <c r="G17" s="1">
        <v>2.6424338652657688</v>
      </c>
      <c r="H17" s="1">
        <v>-2.4022738831828683</v>
      </c>
      <c r="I17" s="1">
        <v>2.6424338652657688</v>
      </c>
    </row>
    <row r="18" spans="1:9" ht="15" thickBot="1" x14ac:dyDescent="0.4">
      <c r="A18" s="2" t="s">
        <v>33</v>
      </c>
      <c r="B18" s="2">
        <v>0.99910023898433098</v>
      </c>
      <c r="C18" s="2">
        <v>3.4092780755729207E-3</v>
      </c>
      <c r="D18" s="2">
        <v>293.05331417309935</v>
      </c>
      <c r="E18" s="2">
        <v>4.7928000680269858E-151</v>
      </c>
      <c r="F18" s="2">
        <v>0.99233795208630948</v>
      </c>
      <c r="G18" s="2">
        <v>1.0058625258823519</v>
      </c>
      <c r="H18" s="2">
        <v>0.99233795208630948</v>
      </c>
      <c r="I18" s="2">
        <v>1.0058625258823519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abSelected="1" topLeftCell="A78" zoomScale="72" zoomScaleNormal="72" workbookViewId="0">
      <selection activeCell="L107" sqref="L107"/>
    </sheetView>
  </sheetViews>
  <sheetFormatPr defaultRowHeight="14.5" x14ac:dyDescent="0.35"/>
  <cols>
    <col min="1" max="1" width="9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36</v>
      </c>
      <c r="H1" t="s">
        <v>8</v>
      </c>
      <c r="I1" t="s">
        <v>42</v>
      </c>
      <c r="J1" t="s">
        <v>35</v>
      </c>
      <c r="O1" t="s">
        <v>34</v>
      </c>
    </row>
    <row r="2" spans="1:15" x14ac:dyDescent="0.35">
      <c r="A2" s="5">
        <v>34335</v>
      </c>
      <c r="B2" t="s">
        <v>38</v>
      </c>
      <c r="C2">
        <v>80</v>
      </c>
      <c r="E2" t="s">
        <v>5</v>
      </c>
      <c r="F2" t="s">
        <v>7</v>
      </c>
      <c r="G2">
        <f>AVERAGE(F5,F9,F13)</f>
        <v>1.0061648596027617</v>
      </c>
      <c r="H2">
        <f>C2/G2</f>
        <v>79.509833042255465</v>
      </c>
      <c r="I2">
        <f>(0.95+7.09*O2)</f>
        <v>8.0399999999999991</v>
      </c>
      <c r="J2">
        <f>(G2*I2)</f>
        <v>8.0895654712062033</v>
      </c>
      <c r="O2">
        <v>1</v>
      </c>
    </row>
    <row r="3" spans="1:15" x14ac:dyDescent="0.35">
      <c r="A3" s="5">
        <v>34425</v>
      </c>
      <c r="B3" t="s">
        <v>39</v>
      </c>
      <c r="C3">
        <v>81</v>
      </c>
      <c r="D3">
        <f>AVERAGE(C2:C5)</f>
        <v>83.25</v>
      </c>
      <c r="E3">
        <f>AVERAGE(D3:D4)</f>
        <v>84.5</v>
      </c>
      <c r="F3">
        <f>C4/E3</f>
        <v>0.99408284023668636</v>
      </c>
      <c r="G3">
        <f>AVERAGE(F6,F10,F14)</f>
        <v>0.96786765408565412</v>
      </c>
      <c r="H3">
        <f>C3/G3</f>
        <v>83.689128010503467</v>
      </c>
      <c r="I3">
        <f>(0.95+7.09*O3)</f>
        <v>15.129999999999999</v>
      </c>
      <c r="J3">
        <f>(G3*I3)</f>
        <v>14.643837606315946</v>
      </c>
      <c r="O3">
        <v>2</v>
      </c>
    </row>
    <row r="4" spans="1:15" x14ac:dyDescent="0.35">
      <c r="A4" s="6">
        <v>34547</v>
      </c>
      <c r="B4" t="s">
        <v>40</v>
      </c>
      <c r="C4">
        <v>84</v>
      </c>
      <c r="D4">
        <f>AVERAGE(C3:C6)</f>
        <v>85.75</v>
      </c>
      <c r="E4">
        <f>AVERAGE(D4:D5)</f>
        <v>86.25</v>
      </c>
      <c r="F4">
        <f>C5/E4</f>
        <v>1.0202898550724637</v>
      </c>
      <c r="G4">
        <f>AVERAGE(F7,F11,F15)</f>
        <v>0.99771763466790464</v>
      </c>
      <c r="H4">
        <f>C4/G4</f>
        <v>84.192157260966752</v>
      </c>
      <c r="I4">
        <f t="shared" ref="I4:I67" si="0">(0.95+7.09*O4)</f>
        <v>22.22</v>
      </c>
      <c r="J4">
        <f t="shared" ref="J4:J67" si="1">(G4*I4)</f>
        <v>22.169285842320839</v>
      </c>
      <c r="O4">
        <v>3</v>
      </c>
    </row>
    <row r="5" spans="1:15" x14ac:dyDescent="0.35">
      <c r="A5" s="6">
        <v>34669</v>
      </c>
      <c r="B5" t="s">
        <v>41</v>
      </c>
      <c r="C5">
        <v>88</v>
      </c>
      <c r="D5">
        <f t="shared" ref="D3:D9" si="2">AVERAGE(C4:C7)</f>
        <v>86.75</v>
      </c>
      <c r="E5">
        <f t="shared" ref="E5:E68" si="3">AVERAGE(D5:D6)</f>
        <v>87.75</v>
      </c>
      <c r="F5">
        <f t="shared" ref="F5:F68" si="4">C6/E5</f>
        <v>1.0256410256410255</v>
      </c>
      <c r="G5">
        <f>AVERAGE(F8,F12,F16)</f>
        <v>1.0408932011219934</v>
      </c>
      <c r="H5">
        <f t="shared" ref="H5:H68" si="5">C5/G5</f>
        <v>84.542775286785968</v>
      </c>
      <c r="I5">
        <f t="shared" si="0"/>
        <v>29.31</v>
      </c>
      <c r="J5">
        <f t="shared" si="1"/>
        <v>30.508579724885625</v>
      </c>
      <c r="O5">
        <v>4</v>
      </c>
    </row>
    <row r="6" spans="1:15" x14ac:dyDescent="0.35">
      <c r="A6" s="6">
        <v>34700</v>
      </c>
      <c r="B6" t="s">
        <v>38</v>
      </c>
      <c r="C6">
        <v>90</v>
      </c>
      <c r="D6">
        <f t="shared" si="2"/>
        <v>88.75</v>
      </c>
      <c r="E6">
        <f t="shared" si="3"/>
        <v>90.25</v>
      </c>
      <c r="F6">
        <f t="shared" si="4"/>
        <v>0.94182825484764543</v>
      </c>
      <c r="G6">
        <f t="shared" ref="G6:G69" si="6">AVERAGE(F9,F13,F17)</f>
        <v>0.98742177262438047</v>
      </c>
      <c r="H6">
        <f t="shared" si="5"/>
        <v>91.146460909806564</v>
      </c>
      <c r="I6">
        <f t="shared" si="0"/>
        <v>36.400000000000006</v>
      </c>
      <c r="J6">
        <f t="shared" si="1"/>
        <v>35.942152523527454</v>
      </c>
      <c r="O6">
        <v>5</v>
      </c>
    </row>
    <row r="7" spans="1:15" x14ac:dyDescent="0.35">
      <c r="A7" s="6">
        <v>34790</v>
      </c>
      <c r="B7" t="s">
        <v>39</v>
      </c>
      <c r="C7">
        <v>85</v>
      </c>
      <c r="D7">
        <f t="shared" si="2"/>
        <v>91.75</v>
      </c>
      <c r="E7">
        <f t="shared" si="3"/>
        <v>92.75</v>
      </c>
      <c r="F7">
        <f t="shared" si="4"/>
        <v>0.99191374663072773</v>
      </c>
      <c r="G7">
        <f t="shared" si="6"/>
        <v>0.97829137420466505</v>
      </c>
      <c r="H7">
        <f t="shared" si="5"/>
        <v>86.8861795588289</v>
      </c>
      <c r="I7">
        <f t="shared" si="0"/>
        <v>43.49</v>
      </c>
      <c r="J7">
        <f t="shared" si="1"/>
        <v>42.545891864160886</v>
      </c>
      <c r="O7">
        <v>6</v>
      </c>
    </row>
    <row r="8" spans="1:15" x14ac:dyDescent="0.35">
      <c r="A8" s="6">
        <v>34912</v>
      </c>
      <c r="B8" t="s">
        <v>40</v>
      </c>
      <c r="C8">
        <v>92</v>
      </c>
      <c r="D8">
        <f t="shared" si="2"/>
        <v>93.75</v>
      </c>
      <c r="E8">
        <f t="shared" si="3"/>
        <v>95.25</v>
      </c>
      <c r="F8">
        <f t="shared" si="4"/>
        <v>1.0498687664041995</v>
      </c>
      <c r="G8">
        <f t="shared" si="6"/>
        <v>0.99887695414737043</v>
      </c>
      <c r="H8">
        <f t="shared" si="5"/>
        <v>92.103436382242009</v>
      </c>
      <c r="I8">
        <f t="shared" si="0"/>
        <v>50.58</v>
      </c>
      <c r="J8">
        <f t="shared" si="1"/>
        <v>50.523196340773993</v>
      </c>
      <c r="O8">
        <v>7</v>
      </c>
    </row>
    <row r="9" spans="1:15" x14ac:dyDescent="0.35">
      <c r="A9" s="6">
        <v>35034</v>
      </c>
      <c r="B9" t="s">
        <v>41</v>
      </c>
      <c r="C9">
        <v>100</v>
      </c>
      <c r="D9">
        <f t="shared" si="2"/>
        <v>96.75</v>
      </c>
      <c r="E9">
        <f t="shared" si="3"/>
        <v>97.875</v>
      </c>
      <c r="F9">
        <f t="shared" si="4"/>
        <v>1.0012771392081736</v>
      </c>
      <c r="G9">
        <f t="shared" si="6"/>
        <v>1.0328942009970088</v>
      </c>
      <c r="H9">
        <f t="shared" si="5"/>
        <v>96.815336850060987</v>
      </c>
      <c r="I9">
        <f t="shared" si="0"/>
        <v>57.67</v>
      </c>
      <c r="J9">
        <f t="shared" si="1"/>
        <v>59.567008571497496</v>
      </c>
      <c r="O9">
        <v>8</v>
      </c>
    </row>
    <row r="10" spans="1:15" x14ac:dyDescent="0.35">
      <c r="A10" s="6">
        <v>35065</v>
      </c>
      <c r="B10" t="s">
        <v>38</v>
      </c>
      <c r="C10">
        <v>98</v>
      </c>
      <c r="D10">
        <f t="shared" ref="D10:D16" si="7">AVERAGE(C9:C12)</f>
        <v>99</v>
      </c>
      <c r="E10">
        <f t="shared" si="3"/>
        <v>99.625</v>
      </c>
      <c r="F10">
        <f t="shared" si="4"/>
        <v>0.97365119196988703</v>
      </c>
      <c r="G10">
        <f t="shared" si="6"/>
        <v>0.98479825735718707</v>
      </c>
      <c r="H10">
        <f t="shared" si="5"/>
        <v>99.51276748091901</v>
      </c>
      <c r="I10">
        <f t="shared" si="0"/>
        <v>64.760000000000005</v>
      </c>
      <c r="J10">
        <f t="shared" si="1"/>
        <v>63.775535146451439</v>
      </c>
      <c r="O10">
        <v>9</v>
      </c>
    </row>
    <row r="11" spans="1:15" x14ac:dyDescent="0.35">
      <c r="A11" s="6">
        <v>35156</v>
      </c>
      <c r="B11" t="s">
        <v>39</v>
      </c>
      <c r="C11">
        <v>97</v>
      </c>
      <c r="D11">
        <f t="shared" si="7"/>
        <v>100.25</v>
      </c>
      <c r="E11">
        <f t="shared" si="3"/>
        <v>100.875</v>
      </c>
      <c r="F11">
        <f t="shared" si="4"/>
        <v>1.0012391573729864</v>
      </c>
      <c r="G11">
        <f t="shared" si="6"/>
        <v>0.98455723002771967</v>
      </c>
      <c r="H11">
        <f t="shared" si="5"/>
        <v>98.521443996982299</v>
      </c>
      <c r="I11">
        <f t="shared" si="0"/>
        <v>71.850000000000009</v>
      </c>
      <c r="J11">
        <f t="shared" si="1"/>
        <v>70.740436977491669</v>
      </c>
      <c r="O11">
        <v>10</v>
      </c>
    </row>
    <row r="12" spans="1:15" x14ac:dyDescent="0.35">
      <c r="A12" s="6">
        <v>35278</v>
      </c>
      <c r="B12" t="s">
        <v>40</v>
      </c>
      <c r="C12">
        <v>101</v>
      </c>
      <c r="D12">
        <f t="shared" si="7"/>
        <v>101.5</v>
      </c>
      <c r="E12">
        <f t="shared" si="3"/>
        <v>102.375</v>
      </c>
      <c r="F12">
        <f t="shared" si="4"/>
        <v>1.0256410256410255</v>
      </c>
      <c r="G12">
        <f t="shared" si="6"/>
        <v>1.0009541186943329</v>
      </c>
      <c r="H12">
        <f t="shared" si="5"/>
        <v>100.90372586882071</v>
      </c>
      <c r="I12">
        <f t="shared" si="0"/>
        <v>78.94</v>
      </c>
      <c r="J12">
        <f t="shared" si="1"/>
        <v>79.015318129730645</v>
      </c>
      <c r="O12">
        <v>11</v>
      </c>
    </row>
    <row r="13" spans="1:15" x14ac:dyDescent="0.35">
      <c r="A13" s="6">
        <v>35400</v>
      </c>
      <c r="B13" t="s">
        <v>41</v>
      </c>
      <c r="C13">
        <v>105</v>
      </c>
      <c r="D13">
        <f t="shared" si="7"/>
        <v>103.25</v>
      </c>
      <c r="E13">
        <f t="shared" si="3"/>
        <v>103.875</v>
      </c>
      <c r="F13">
        <f t="shared" si="4"/>
        <v>0.99157641395908547</v>
      </c>
      <c r="G13">
        <f t="shared" si="6"/>
        <v>1.035008173260235</v>
      </c>
      <c r="H13">
        <f t="shared" si="5"/>
        <v>101.44847423692717</v>
      </c>
      <c r="I13">
        <f t="shared" si="0"/>
        <v>86.03</v>
      </c>
      <c r="J13">
        <f t="shared" si="1"/>
        <v>89.041753145578014</v>
      </c>
      <c r="O13">
        <v>12</v>
      </c>
    </row>
    <row r="14" spans="1:15" x14ac:dyDescent="0.35">
      <c r="A14" s="6">
        <v>35431</v>
      </c>
      <c r="B14" t="s">
        <v>38</v>
      </c>
      <c r="C14">
        <v>103</v>
      </c>
      <c r="D14">
        <f>AVERAGE(C13:C16)</f>
        <v>104.5</v>
      </c>
      <c r="E14">
        <f t="shared" si="3"/>
        <v>105.25</v>
      </c>
      <c r="F14">
        <f t="shared" si="4"/>
        <v>0.98812351543942989</v>
      </c>
      <c r="G14">
        <f t="shared" si="6"/>
        <v>0.98195640185670097</v>
      </c>
      <c r="H14">
        <f t="shared" si="5"/>
        <v>104.89264065618976</v>
      </c>
      <c r="I14">
        <f t="shared" si="0"/>
        <v>93.12</v>
      </c>
      <c r="J14">
        <f t="shared" si="1"/>
        <v>91.439780140896005</v>
      </c>
      <c r="O14">
        <v>13</v>
      </c>
    </row>
    <row r="15" spans="1:15" x14ac:dyDescent="0.35">
      <c r="A15" s="6">
        <v>35521</v>
      </c>
      <c r="B15" t="s">
        <v>39</v>
      </c>
      <c r="C15">
        <v>104</v>
      </c>
      <c r="D15">
        <f>AVERAGE(C14:C17)</f>
        <v>106</v>
      </c>
      <c r="E15">
        <f t="shared" si="3"/>
        <v>106</v>
      </c>
      <c r="F15">
        <f t="shared" si="4"/>
        <v>1</v>
      </c>
      <c r="G15">
        <f t="shared" si="6"/>
        <v>0.9713771984734082</v>
      </c>
      <c r="H15">
        <f t="shared" si="5"/>
        <v>107.06448551957341</v>
      </c>
      <c r="I15">
        <f t="shared" si="0"/>
        <v>100.21</v>
      </c>
      <c r="J15">
        <f t="shared" si="1"/>
        <v>97.341709059020232</v>
      </c>
      <c r="O15">
        <v>14</v>
      </c>
    </row>
    <row r="16" spans="1:15" x14ac:dyDescent="0.35">
      <c r="A16" s="6">
        <v>35643</v>
      </c>
      <c r="B16" t="s">
        <v>40</v>
      </c>
      <c r="C16">
        <v>106</v>
      </c>
      <c r="D16">
        <f>AVERAGE(C15:C18)</f>
        <v>106</v>
      </c>
      <c r="E16">
        <f t="shared" si="3"/>
        <v>106</v>
      </c>
      <c r="F16">
        <f t="shared" si="4"/>
        <v>1.0471698113207548</v>
      </c>
      <c r="G16">
        <f t="shared" si="6"/>
        <v>1.019085220507443</v>
      </c>
      <c r="H16">
        <f t="shared" si="5"/>
        <v>104.01485358331307</v>
      </c>
      <c r="I16">
        <f t="shared" si="0"/>
        <v>107.3</v>
      </c>
      <c r="J16">
        <f t="shared" si="1"/>
        <v>109.34784416044863</v>
      </c>
      <c r="O16">
        <v>15</v>
      </c>
    </row>
    <row r="17" spans="1:15" x14ac:dyDescent="0.35">
      <c r="A17" s="6">
        <v>35765</v>
      </c>
      <c r="B17" t="s">
        <v>41</v>
      </c>
      <c r="C17">
        <v>111</v>
      </c>
      <c r="D17">
        <f>AVERAGE(C16:C19)</f>
        <v>106</v>
      </c>
      <c r="E17">
        <f t="shared" si="3"/>
        <v>106.25</v>
      </c>
      <c r="F17">
        <f t="shared" si="4"/>
        <v>0.96941176470588231</v>
      </c>
      <c r="G17">
        <f t="shared" si="6"/>
        <v>1.0227355584445521</v>
      </c>
      <c r="H17">
        <f t="shared" si="5"/>
        <v>108.53245404786412</v>
      </c>
      <c r="I17">
        <f t="shared" si="0"/>
        <v>114.39</v>
      </c>
      <c r="J17">
        <f t="shared" si="1"/>
        <v>116.99072053047232</v>
      </c>
      <c r="O17">
        <v>16</v>
      </c>
    </row>
    <row r="18" spans="1:15" x14ac:dyDescent="0.35">
      <c r="A18" s="6">
        <v>35796</v>
      </c>
      <c r="B18" t="s">
        <v>38</v>
      </c>
      <c r="C18">
        <v>103</v>
      </c>
      <c r="D18">
        <f>AVERAGE(C17:C20)</f>
        <v>106.5</v>
      </c>
      <c r="E18">
        <f t="shared" si="3"/>
        <v>106.875</v>
      </c>
      <c r="F18">
        <f t="shared" si="4"/>
        <v>0.97309941520467835</v>
      </c>
      <c r="G18">
        <f t="shared" si="6"/>
        <v>0.98288368523143088</v>
      </c>
      <c r="H18">
        <f t="shared" si="5"/>
        <v>104.79368164071978</v>
      </c>
      <c r="I18">
        <f t="shared" si="0"/>
        <v>121.48</v>
      </c>
      <c r="J18">
        <f t="shared" si="1"/>
        <v>119.40071008191423</v>
      </c>
      <c r="O18">
        <v>17</v>
      </c>
    </row>
    <row r="19" spans="1:15" x14ac:dyDescent="0.35">
      <c r="A19" s="6">
        <v>35886</v>
      </c>
      <c r="B19" t="s">
        <v>39</v>
      </c>
      <c r="C19">
        <v>104</v>
      </c>
      <c r="D19">
        <f>AVERAGE(C18:C21)</f>
        <v>107.25</v>
      </c>
      <c r="E19">
        <f t="shared" si="3"/>
        <v>108.5</v>
      </c>
      <c r="F19">
        <f t="shared" si="4"/>
        <v>0.99539170506912444</v>
      </c>
      <c r="G19">
        <f t="shared" si="6"/>
        <v>0.97693574378009673</v>
      </c>
      <c r="H19">
        <f t="shared" si="5"/>
        <v>106.45531260591267</v>
      </c>
      <c r="I19">
        <f t="shared" si="0"/>
        <v>128.57</v>
      </c>
      <c r="J19">
        <f t="shared" si="1"/>
        <v>125.60462857780703</v>
      </c>
      <c r="O19">
        <v>18</v>
      </c>
    </row>
    <row r="20" spans="1:15" x14ac:dyDescent="0.35">
      <c r="A20" s="6">
        <v>36008</v>
      </c>
      <c r="B20" t="s">
        <v>40</v>
      </c>
      <c r="C20">
        <v>108</v>
      </c>
      <c r="D20">
        <f>AVERAGE(C19:C22)</f>
        <v>109.75</v>
      </c>
      <c r="E20">
        <f t="shared" si="3"/>
        <v>111.125</v>
      </c>
      <c r="F20">
        <f t="shared" si="4"/>
        <v>1.0258717660292462</v>
      </c>
      <c r="G20">
        <f t="shared" si="6"/>
        <v>1.0162749463670495</v>
      </c>
      <c r="H20">
        <f t="shared" si="5"/>
        <v>106.27045405977516</v>
      </c>
      <c r="I20">
        <f t="shared" si="0"/>
        <v>135.66</v>
      </c>
      <c r="J20">
        <f t="shared" si="1"/>
        <v>137.86785922415393</v>
      </c>
      <c r="O20">
        <v>19</v>
      </c>
    </row>
    <row r="21" spans="1:15" x14ac:dyDescent="0.35">
      <c r="A21" s="6">
        <v>36130</v>
      </c>
      <c r="B21" t="s">
        <v>41</v>
      </c>
      <c r="C21">
        <v>114</v>
      </c>
      <c r="D21">
        <f t="shared" ref="D21:D84" si="8">AVERAGE(C20:C23)</f>
        <v>112.5</v>
      </c>
      <c r="E21">
        <f t="shared" si="3"/>
        <v>113.75</v>
      </c>
      <c r="F21">
        <f t="shared" si="4"/>
        <v>0.99340659340659343</v>
      </c>
      <c r="G21">
        <f t="shared" si="6"/>
        <v>1.0272349960148557</v>
      </c>
      <c r="H21">
        <f t="shared" si="5"/>
        <v>110.97752748130804</v>
      </c>
      <c r="I21">
        <f t="shared" si="0"/>
        <v>142.75</v>
      </c>
      <c r="J21">
        <f t="shared" si="1"/>
        <v>146.63779568112065</v>
      </c>
      <c r="O21">
        <v>20</v>
      </c>
    </row>
    <row r="22" spans="1:15" x14ac:dyDescent="0.35">
      <c r="A22" s="6">
        <v>36161</v>
      </c>
      <c r="B22" t="s">
        <v>38</v>
      </c>
      <c r="C22">
        <v>113</v>
      </c>
      <c r="D22">
        <f t="shared" si="8"/>
        <v>115</v>
      </c>
      <c r="E22">
        <f t="shared" si="3"/>
        <v>115.875</v>
      </c>
      <c r="F22">
        <f t="shared" si="4"/>
        <v>0.99244875943905075</v>
      </c>
      <c r="G22">
        <f t="shared" si="6"/>
        <v>0.97801661909268844</v>
      </c>
      <c r="H22">
        <f t="shared" si="5"/>
        <v>115.53995892710978</v>
      </c>
      <c r="I22">
        <f t="shared" si="0"/>
        <v>149.83999999999997</v>
      </c>
      <c r="J22">
        <f t="shared" si="1"/>
        <v>146.54601020484841</v>
      </c>
      <c r="O22">
        <v>21</v>
      </c>
    </row>
    <row r="23" spans="1:15" x14ac:dyDescent="0.35">
      <c r="A23" s="6">
        <v>36251</v>
      </c>
      <c r="B23" t="s">
        <v>39</v>
      </c>
      <c r="C23">
        <v>115</v>
      </c>
      <c r="D23">
        <f t="shared" si="8"/>
        <v>116.75</v>
      </c>
      <c r="E23">
        <f t="shared" si="3"/>
        <v>117.125</v>
      </c>
      <c r="F23">
        <f t="shared" si="4"/>
        <v>1.007470651013874</v>
      </c>
      <c r="G23">
        <f t="shared" si="6"/>
        <v>0.97850134918116172</v>
      </c>
      <c r="H23">
        <f t="shared" si="5"/>
        <v>117.52666472686556</v>
      </c>
      <c r="I23">
        <f t="shared" si="0"/>
        <v>156.92999999999998</v>
      </c>
      <c r="J23">
        <f t="shared" si="1"/>
        <v>153.55621672699968</v>
      </c>
      <c r="O23">
        <v>22</v>
      </c>
    </row>
    <row r="24" spans="1:15" x14ac:dyDescent="0.35">
      <c r="A24" s="6">
        <v>36373</v>
      </c>
      <c r="B24" t="s">
        <v>40</v>
      </c>
      <c r="C24">
        <v>118</v>
      </c>
      <c r="D24">
        <f t="shared" si="8"/>
        <v>117.5</v>
      </c>
      <c r="E24">
        <f t="shared" si="3"/>
        <v>117.25</v>
      </c>
      <c r="F24">
        <f t="shared" si="4"/>
        <v>1.0319829424307037</v>
      </c>
      <c r="G24">
        <f t="shared" si="6"/>
        <v>1.0150238867354111</v>
      </c>
      <c r="H24">
        <f t="shared" si="5"/>
        <v>116.25342175889045</v>
      </c>
      <c r="I24">
        <f t="shared" si="0"/>
        <v>164.01999999999998</v>
      </c>
      <c r="J24">
        <f t="shared" si="1"/>
        <v>166.48421790234212</v>
      </c>
      <c r="O24">
        <v>23</v>
      </c>
    </row>
    <row r="25" spans="1:15" x14ac:dyDescent="0.35">
      <c r="A25" s="6">
        <v>36495</v>
      </c>
      <c r="B25" t="s">
        <v>41</v>
      </c>
      <c r="C25">
        <v>121</v>
      </c>
      <c r="D25">
        <f t="shared" si="8"/>
        <v>117</v>
      </c>
      <c r="E25">
        <f t="shared" si="3"/>
        <v>118</v>
      </c>
      <c r="F25">
        <f t="shared" si="4"/>
        <v>0.98305084745762716</v>
      </c>
      <c r="G25">
        <f t="shared" si="6"/>
        <v>0.99934288032642737</v>
      </c>
      <c r="H25">
        <f t="shared" si="5"/>
        <v>121.07956376341653</v>
      </c>
      <c r="I25">
        <f t="shared" si="0"/>
        <v>171.10999999999999</v>
      </c>
      <c r="J25">
        <f t="shared" si="1"/>
        <v>170.99756025265498</v>
      </c>
      <c r="O25">
        <v>24</v>
      </c>
    </row>
    <row r="26" spans="1:15" x14ac:dyDescent="0.35">
      <c r="A26" s="6">
        <v>36526</v>
      </c>
      <c r="B26" t="s">
        <v>38</v>
      </c>
      <c r="C26">
        <v>116</v>
      </c>
      <c r="D26">
        <f t="shared" si="8"/>
        <v>119</v>
      </c>
      <c r="E26">
        <f t="shared" si="3"/>
        <v>119.125</v>
      </c>
      <c r="F26">
        <f t="shared" si="4"/>
        <v>0.94858342077649527</v>
      </c>
      <c r="G26">
        <f t="shared" si="6"/>
        <v>0.9965640150246976</v>
      </c>
      <c r="H26">
        <f t="shared" si="5"/>
        <v>116.39994847408292</v>
      </c>
      <c r="I26">
        <f t="shared" si="0"/>
        <v>178.2</v>
      </c>
      <c r="J26">
        <f t="shared" si="1"/>
        <v>177.5877074774011</v>
      </c>
      <c r="O26">
        <v>25</v>
      </c>
    </row>
    <row r="27" spans="1:15" x14ac:dyDescent="0.35">
      <c r="A27" s="6">
        <v>36617</v>
      </c>
      <c r="B27" t="s">
        <v>39</v>
      </c>
      <c r="C27">
        <v>113</v>
      </c>
      <c r="D27">
        <f t="shared" si="8"/>
        <v>119.25</v>
      </c>
      <c r="E27">
        <f t="shared" si="3"/>
        <v>119.5</v>
      </c>
      <c r="F27">
        <f t="shared" si="4"/>
        <v>1.0543933054393306</v>
      </c>
      <c r="G27">
        <f t="shared" si="6"/>
        <v>0.99949695823362472</v>
      </c>
      <c r="H27">
        <f t="shared" si="5"/>
        <v>113.05687232875712</v>
      </c>
      <c r="I27">
        <f t="shared" si="0"/>
        <v>185.29</v>
      </c>
      <c r="J27">
        <f t="shared" si="1"/>
        <v>185.19679139110832</v>
      </c>
      <c r="O27">
        <v>26</v>
      </c>
    </row>
    <row r="28" spans="1:15" x14ac:dyDescent="0.35">
      <c r="A28" s="6">
        <v>36739</v>
      </c>
      <c r="B28" t="s">
        <v>40</v>
      </c>
      <c r="C28">
        <v>126</v>
      </c>
      <c r="D28">
        <f t="shared" si="8"/>
        <v>119.75</v>
      </c>
      <c r="E28">
        <f t="shared" si="3"/>
        <v>120.75</v>
      </c>
      <c r="F28">
        <f t="shared" si="4"/>
        <v>1.010351966873706</v>
      </c>
      <c r="G28">
        <f t="shared" si="6"/>
        <v>0.99000354273894109</v>
      </c>
      <c r="H28">
        <f t="shared" si="5"/>
        <v>127.27227182582473</v>
      </c>
      <c r="I28">
        <f t="shared" si="0"/>
        <v>192.38</v>
      </c>
      <c r="J28">
        <f t="shared" si="1"/>
        <v>190.45688155211749</v>
      </c>
      <c r="O28">
        <v>27</v>
      </c>
    </row>
    <row r="29" spans="1:15" x14ac:dyDescent="0.35">
      <c r="A29" s="6">
        <v>36861</v>
      </c>
      <c r="B29" t="s">
        <v>41</v>
      </c>
      <c r="C29">
        <v>122</v>
      </c>
      <c r="D29">
        <f t="shared" si="8"/>
        <v>121.75</v>
      </c>
      <c r="E29">
        <f t="shared" si="3"/>
        <v>121.375</v>
      </c>
      <c r="F29">
        <f t="shared" si="4"/>
        <v>0.97219361483007205</v>
      </c>
      <c r="G29">
        <f t="shared" si="6"/>
        <v>0.99230799531117775</v>
      </c>
      <c r="H29">
        <f t="shared" si="5"/>
        <v>122.94569889235049</v>
      </c>
      <c r="I29">
        <f t="shared" si="0"/>
        <v>199.46999999999997</v>
      </c>
      <c r="J29">
        <f t="shared" si="1"/>
        <v>197.93567582472059</v>
      </c>
      <c r="O29">
        <v>28</v>
      </c>
    </row>
    <row r="30" spans="1:15" x14ac:dyDescent="0.35">
      <c r="A30" s="6">
        <v>36892</v>
      </c>
      <c r="B30" t="s">
        <v>38</v>
      </c>
      <c r="C30">
        <v>118</v>
      </c>
      <c r="D30">
        <f t="shared" si="8"/>
        <v>121</v>
      </c>
      <c r="E30">
        <f t="shared" si="3"/>
        <v>122.25</v>
      </c>
      <c r="F30">
        <f t="shared" si="4"/>
        <v>0.9897750511247444</v>
      </c>
      <c r="G30">
        <f t="shared" si="6"/>
        <v>1.0092793881217144</v>
      </c>
      <c r="H30">
        <f t="shared" si="5"/>
        <v>116.91509941523719</v>
      </c>
      <c r="I30">
        <f t="shared" si="0"/>
        <v>206.55999999999997</v>
      </c>
      <c r="J30">
        <f t="shared" si="1"/>
        <v>208.47675041042129</v>
      </c>
      <c r="O30">
        <v>29</v>
      </c>
    </row>
    <row r="31" spans="1:15" x14ac:dyDescent="0.35">
      <c r="A31" s="6">
        <v>36982</v>
      </c>
      <c r="B31" t="s">
        <v>39</v>
      </c>
      <c r="C31">
        <v>121</v>
      </c>
      <c r="D31">
        <f t="shared" si="8"/>
        <v>123.5</v>
      </c>
      <c r="E31">
        <f t="shared" si="3"/>
        <v>124.625</v>
      </c>
      <c r="F31">
        <f t="shared" si="4"/>
        <v>0.98696088264794379</v>
      </c>
      <c r="G31">
        <f t="shared" si="6"/>
        <v>1.0036129886088869</v>
      </c>
      <c r="H31">
        <f t="shared" si="5"/>
        <v>120.56440218825657</v>
      </c>
      <c r="I31">
        <f t="shared" si="0"/>
        <v>213.64999999999998</v>
      </c>
      <c r="J31">
        <f t="shared" si="1"/>
        <v>214.42191501628866</v>
      </c>
      <c r="O31">
        <v>30</v>
      </c>
    </row>
    <row r="32" spans="1:15" x14ac:dyDescent="0.35">
      <c r="A32" s="6">
        <v>37104</v>
      </c>
      <c r="B32" t="s">
        <v>40</v>
      </c>
      <c r="C32">
        <v>123</v>
      </c>
      <c r="D32">
        <f t="shared" si="8"/>
        <v>125.75</v>
      </c>
      <c r="E32">
        <f t="shared" si="3"/>
        <v>127</v>
      </c>
      <c r="F32">
        <f t="shared" si="4"/>
        <v>1.0393700787401574</v>
      </c>
      <c r="G32">
        <f t="shared" si="6"/>
        <v>0.99027935888026419</v>
      </c>
      <c r="H32">
        <f t="shared" si="5"/>
        <v>124.20737531990916</v>
      </c>
      <c r="I32">
        <f t="shared" si="0"/>
        <v>220.73999999999998</v>
      </c>
      <c r="J32">
        <f t="shared" si="1"/>
        <v>218.59426567922949</v>
      </c>
      <c r="O32">
        <v>31</v>
      </c>
    </row>
    <row r="33" spans="1:15" x14ac:dyDescent="0.35">
      <c r="A33" s="6">
        <v>37226</v>
      </c>
      <c r="B33" t="s">
        <v>41</v>
      </c>
      <c r="C33">
        <v>132</v>
      </c>
      <c r="D33">
        <f t="shared" si="8"/>
        <v>128.25</v>
      </c>
      <c r="E33">
        <f t="shared" si="3"/>
        <v>129.75</v>
      </c>
      <c r="F33">
        <f t="shared" si="4"/>
        <v>0.97880539499036612</v>
      </c>
      <c r="G33">
        <f t="shared" si="6"/>
        <v>0.98005495775027229</v>
      </c>
      <c r="H33">
        <f t="shared" si="5"/>
        <v>134.68632443124164</v>
      </c>
      <c r="I33">
        <f t="shared" si="0"/>
        <v>227.82999999999998</v>
      </c>
      <c r="J33">
        <f t="shared" si="1"/>
        <v>223.28592102424452</v>
      </c>
      <c r="O33">
        <v>32</v>
      </c>
    </row>
    <row r="34" spans="1:15" x14ac:dyDescent="0.35">
      <c r="A34" s="6">
        <v>37257</v>
      </c>
      <c r="B34" t="s">
        <v>38</v>
      </c>
      <c r="C34">
        <v>127</v>
      </c>
      <c r="D34">
        <f t="shared" si="8"/>
        <v>131.25</v>
      </c>
      <c r="E34">
        <f t="shared" si="3"/>
        <v>131.375</v>
      </c>
      <c r="F34">
        <f t="shared" si="4"/>
        <v>0.99714557564224549</v>
      </c>
      <c r="G34">
        <f t="shared" si="6"/>
        <v>1.0207550945174901</v>
      </c>
      <c r="H34">
        <f t="shared" si="5"/>
        <v>124.41769889968835</v>
      </c>
      <c r="I34">
        <f t="shared" si="0"/>
        <v>234.92</v>
      </c>
      <c r="J34">
        <f t="shared" si="1"/>
        <v>239.79578680404876</v>
      </c>
      <c r="O34">
        <v>33</v>
      </c>
    </row>
    <row r="35" spans="1:15" x14ac:dyDescent="0.35">
      <c r="A35" s="6">
        <v>37347</v>
      </c>
      <c r="B35" t="s">
        <v>39</v>
      </c>
      <c r="C35">
        <v>131</v>
      </c>
      <c r="D35">
        <f t="shared" si="8"/>
        <v>131.5</v>
      </c>
      <c r="E35">
        <f t="shared" si="3"/>
        <v>134.5</v>
      </c>
      <c r="F35">
        <f t="shared" si="4"/>
        <v>1.003717472118959</v>
      </c>
      <c r="G35">
        <f t="shared" si="6"/>
        <v>1.0041584544626085</v>
      </c>
      <c r="H35">
        <f t="shared" si="5"/>
        <v>130.45749843345862</v>
      </c>
      <c r="I35">
        <f t="shared" si="0"/>
        <v>242.01</v>
      </c>
      <c r="J35">
        <f t="shared" si="1"/>
        <v>243.01638756449589</v>
      </c>
      <c r="O35">
        <v>34</v>
      </c>
    </row>
    <row r="36" spans="1:15" x14ac:dyDescent="0.35">
      <c r="A36" s="6">
        <v>37469</v>
      </c>
      <c r="B36" t="s">
        <v>40</v>
      </c>
      <c r="C36">
        <v>135</v>
      </c>
      <c r="D36">
        <f t="shared" si="8"/>
        <v>137.5</v>
      </c>
      <c r="E36">
        <f t="shared" si="3"/>
        <v>140.25</v>
      </c>
      <c r="F36">
        <f t="shared" si="4"/>
        <v>0.94830659536541895</v>
      </c>
      <c r="G36">
        <f t="shared" si="6"/>
        <v>0.98374296784041493</v>
      </c>
      <c r="H36">
        <f t="shared" si="5"/>
        <v>137.23096826436478</v>
      </c>
      <c r="I36">
        <f t="shared" si="0"/>
        <v>249.1</v>
      </c>
      <c r="J36">
        <f t="shared" si="1"/>
        <v>245.05037328904734</v>
      </c>
      <c r="O36">
        <v>35</v>
      </c>
    </row>
    <row r="37" spans="1:15" x14ac:dyDescent="0.35">
      <c r="A37" s="6">
        <v>37591</v>
      </c>
      <c r="B37" t="s">
        <v>41</v>
      </c>
      <c r="C37">
        <v>133</v>
      </c>
      <c r="D37">
        <f t="shared" si="8"/>
        <v>143</v>
      </c>
      <c r="E37">
        <f t="shared" si="3"/>
        <v>145.375</v>
      </c>
      <c r="F37">
        <f t="shared" si="4"/>
        <v>1.0386930352536543</v>
      </c>
      <c r="G37">
        <f t="shared" si="6"/>
        <v>0.99728609262846601</v>
      </c>
      <c r="H37">
        <f t="shared" si="5"/>
        <v>133.36193193014725</v>
      </c>
      <c r="I37">
        <f t="shared" si="0"/>
        <v>256.19</v>
      </c>
      <c r="J37">
        <f t="shared" si="1"/>
        <v>255.49472407048671</v>
      </c>
      <c r="O37">
        <v>36</v>
      </c>
    </row>
    <row r="38" spans="1:15" x14ac:dyDescent="0.35">
      <c r="A38" s="6">
        <v>37622</v>
      </c>
      <c r="B38" t="s">
        <v>38</v>
      </c>
      <c r="C38">
        <v>151</v>
      </c>
      <c r="D38">
        <f t="shared" si="8"/>
        <v>147.75</v>
      </c>
      <c r="E38">
        <f t="shared" si="3"/>
        <v>151.25</v>
      </c>
      <c r="F38">
        <f t="shared" si="4"/>
        <v>1.0115702479338844</v>
      </c>
      <c r="G38">
        <f t="shared" si="6"/>
        <v>1.0113353586220291</v>
      </c>
      <c r="H38">
        <f t="shared" si="5"/>
        <v>149.30754542760323</v>
      </c>
      <c r="I38">
        <f t="shared" si="0"/>
        <v>263.27999999999997</v>
      </c>
      <c r="J38">
        <f t="shared" si="1"/>
        <v>266.26437321800779</v>
      </c>
      <c r="O38">
        <v>37</v>
      </c>
    </row>
    <row r="39" spans="1:15" x14ac:dyDescent="0.35">
      <c r="A39" s="6">
        <v>37712</v>
      </c>
      <c r="B39" t="s">
        <v>39</v>
      </c>
      <c r="C39">
        <v>153</v>
      </c>
      <c r="D39">
        <f t="shared" si="8"/>
        <v>154.75</v>
      </c>
      <c r="E39">
        <f t="shared" si="3"/>
        <v>157.25</v>
      </c>
      <c r="F39">
        <f t="shared" si="4"/>
        <v>0.97933227344992047</v>
      </c>
      <c r="G39">
        <f t="shared" si="6"/>
        <v>1.004035038484647</v>
      </c>
      <c r="H39">
        <f t="shared" si="5"/>
        <v>152.38512017560387</v>
      </c>
      <c r="I39">
        <f t="shared" si="0"/>
        <v>270.37</v>
      </c>
      <c r="J39">
        <f t="shared" si="1"/>
        <v>271.46095335509403</v>
      </c>
      <c r="O39">
        <v>38</v>
      </c>
    </row>
    <row r="40" spans="1:15" x14ac:dyDescent="0.35">
      <c r="A40" s="6">
        <v>37834</v>
      </c>
      <c r="B40" t="s">
        <v>40</v>
      </c>
      <c r="C40">
        <v>154</v>
      </c>
      <c r="D40">
        <f t="shared" si="8"/>
        <v>159.75</v>
      </c>
      <c r="E40">
        <f t="shared" si="3"/>
        <v>162.75</v>
      </c>
      <c r="F40">
        <f t="shared" si="4"/>
        <v>0.989247311827957</v>
      </c>
      <c r="G40">
        <f t="shared" si="6"/>
        <v>0.97864908766090564</v>
      </c>
      <c r="H40">
        <f t="shared" si="5"/>
        <v>157.35977475652624</v>
      </c>
      <c r="I40">
        <f t="shared" si="0"/>
        <v>277.45999999999998</v>
      </c>
      <c r="J40">
        <f t="shared" si="1"/>
        <v>271.53597586239488</v>
      </c>
      <c r="O40">
        <v>39</v>
      </c>
    </row>
    <row r="41" spans="1:15" x14ac:dyDescent="0.35">
      <c r="A41" s="6">
        <v>37956</v>
      </c>
      <c r="B41" t="s">
        <v>41</v>
      </c>
      <c r="C41">
        <v>161</v>
      </c>
      <c r="D41">
        <f t="shared" si="8"/>
        <v>165.75</v>
      </c>
      <c r="E41">
        <f t="shared" si="3"/>
        <v>169.25</v>
      </c>
      <c r="F41">
        <f t="shared" si="4"/>
        <v>1.0103397341211227</v>
      </c>
      <c r="G41">
        <f t="shared" si="6"/>
        <v>0.97571308931474443</v>
      </c>
      <c r="H41">
        <f t="shared" si="5"/>
        <v>165.00752297283654</v>
      </c>
      <c r="I41">
        <f t="shared" si="0"/>
        <v>284.55</v>
      </c>
      <c r="J41">
        <f t="shared" si="1"/>
        <v>277.63915956451052</v>
      </c>
      <c r="O41">
        <v>40</v>
      </c>
    </row>
    <row r="42" spans="1:15" x14ac:dyDescent="0.35">
      <c r="A42" s="6">
        <v>37987</v>
      </c>
      <c r="B42" t="s">
        <v>38</v>
      </c>
      <c r="C42">
        <v>171</v>
      </c>
      <c r="D42">
        <f t="shared" si="8"/>
        <v>172.75</v>
      </c>
      <c r="E42">
        <f t="shared" si="3"/>
        <v>176.625</v>
      </c>
      <c r="F42">
        <f t="shared" si="4"/>
        <v>1.0021231422505308</v>
      </c>
      <c r="G42">
        <f t="shared" si="6"/>
        <v>1.0339603669714028</v>
      </c>
      <c r="H42">
        <f t="shared" si="5"/>
        <v>165.38351513499501</v>
      </c>
      <c r="I42">
        <f t="shared" si="0"/>
        <v>291.64</v>
      </c>
      <c r="J42">
        <f t="shared" si="1"/>
        <v>301.5442014235399</v>
      </c>
      <c r="O42">
        <v>41</v>
      </c>
    </row>
    <row r="43" spans="1:15" x14ac:dyDescent="0.35">
      <c r="A43" s="6">
        <v>38078</v>
      </c>
      <c r="B43" t="s">
        <v>39</v>
      </c>
      <c r="C43">
        <v>177</v>
      </c>
      <c r="D43">
        <f t="shared" si="8"/>
        <v>180.5</v>
      </c>
      <c r="E43">
        <f t="shared" si="3"/>
        <v>184.25</v>
      </c>
      <c r="F43">
        <f t="shared" si="4"/>
        <v>0.98778833107191311</v>
      </c>
      <c r="G43">
        <f t="shared" si="6"/>
        <v>1.009971842673562</v>
      </c>
      <c r="H43">
        <f t="shared" si="5"/>
        <v>175.25241053399253</v>
      </c>
      <c r="I43">
        <f t="shared" si="0"/>
        <v>298.72999999999996</v>
      </c>
      <c r="J43">
        <f t="shared" si="1"/>
        <v>301.70888856187315</v>
      </c>
      <c r="O43">
        <v>42</v>
      </c>
    </row>
    <row r="44" spans="1:15" x14ac:dyDescent="0.35">
      <c r="A44" s="6">
        <v>38200</v>
      </c>
      <c r="B44" t="s">
        <v>40</v>
      </c>
      <c r="C44">
        <v>182</v>
      </c>
      <c r="D44">
        <f t="shared" si="8"/>
        <v>188</v>
      </c>
      <c r="E44">
        <f t="shared" si="3"/>
        <v>191.5</v>
      </c>
      <c r="F44">
        <f t="shared" si="4"/>
        <v>1.0026109660574412</v>
      </c>
      <c r="G44">
        <f t="shared" si="6"/>
        <v>0.98474147979719884</v>
      </c>
      <c r="H44">
        <f t="shared" si="5"/>
        <v>184.82008093888939</v>
      </c>
      <c r="I44">
        <f t="shared" si="0"/>
        <v>305.82</v>
      </c>
      <c r="J44">
        <f t="shared" si="1"/>
        <v>301.15363935157933</v>
      </c>
      <c r="O44">
        <v>43</v>
      </c>
    </row>
    <row r="45" spans="1:15" x14ac:dyDescent="0.35">
      <c r="A45" s="6">
        <v>38322</v>
      </c>
      <c r="B45" t="s">
        <v>41</v>
      </c>
      <c r="C45">
        <v>192</v>
      </c>
      <c r="D45">
        <f t="shared" si="8"/>
        <v>195</v>
      </c>
      <c r="E45">
        <f t="shared" si="3"/>
        <v>198.375</v>
      </c>
      <c r="F45">
        <f t="shared" si="4"/>
        <v>1.0132325141776937</v>
      </c>
      <c r="G45">
        <f t="shared" si="6"/>
        <v>0.98458302703585721</v>
      </c>
      <c r="H45">
        <f t="shared" si="5"/>
        <v>195.0064085281125</v>
      </c>
      <c r="I45">
        <f t="shared" si="0"/>
        <v>312.90999999999997</v>
      </c>
      <c r="J45">
        <f t="shared" si="1"/>
        <v>308.08587498979006</v>
      </c>
      <c r="O45">
        <v>44</v>
      </c>
    </row>
    <row r="46" spans="1:15" x14ac:dyDescent="0.35">
      <c r="A46" s="6">
        <v>38353</v>
      </c>
      <c r="B46" t="s">
        <v>38</v>
      </c>
      <c r="C46">
        <v>201</v>
      </c>
      <c r="D46">
        <f t="shared" si="8"/>
        <v>201.75</v>
      </c>
      <c r="E46">
        <f t="shared" si="3"/>
        <v>205.25</v>
      </c>
      <c r="F46">
        <f t="shared" si="4"/>
        <v>0.99878197320341044</v>
      </c>
      <c r="G46">
        <f t="shared" si="6"/>
        <v>1.0192514259311418</v>
      </c>
      <c r="H46">
        <f t="shared" si="5"/>
        <v>197.2035504550563</v>
      </c>
      <c r="I46">
        <f t="shared" si="0"/>
        <v>320</v>
      </c>
      <c r="J46">
        <f t="shared" si="1"/>
        <v>326.16045629796537</v>
      </c>
      <c r="O46">
        <v>45</v>
      </c>
    </row>
    <row r="47" spans="1:15" x14ac:dyDescent="0.35">
      <c r="A47" s="6">
        <v>38443</v>
      </c>
      <c r="B47" t="s">
        <v>39</v>
      </c>
      <c r="C47">
        <v>205</v>
      </c>
      <c r="D47">
        <f t="shared" si="8"/>
        <v>208.75</v>
      </c>
      <c r="E47">
        <f t="shared" si="3"/>
        <v>212.375</v>
      </c>
      <c r="F47">
        <f t="shared" si="4"/>
        <v>0.98410829899941143</v>
      </c>
      <c r="G47">
        <f t="shared" si="6"/>
        <v>1.0083411917279583</v>
      </c>
      <c r="H47">
        <f t="shared" si="5"/>
        <v>203.30420068300376</v>
      </c>
      <c r="I47">
        <f t="shared" si="0"/>
        <v>327.08999999999997</v>
      </c>
      <c r="J47">
        <f t="shared" si="1"/>
        <v>329.81832040229784</v>
      </c>
      <c r="O47">
        <v>46</v>
      </c>
    </row>
    <row r="48" spans="1:15" x14ac:dyDescent="0.35">
      <c r="A48" s="6">
        <v>38565</v>
      </c>
      <c r="B48" t="s">
        <v>40</v>
      </c>
      <c r="C48">
        <v>209</v>
      </c>
      <c r="D48">
        <f t="shared" si="8"/>
        <v>216</v>
      </c>
      <c r="E48">
        <f t="shared" si="3"/>
        <v>220</v>
      </c>
      <c r="F48">
        <f t="shared" si="4"/>
        <v>1</v>
      </c>
      <c r="G48">
        <f t="shared" si="6"/>
        <v>0.9881615345957323</v>
      </c>
      <c r="H48">
        <f t="shared" si="5"/>
        <v>211.50388138261644</v>
      </c>
      <c r="I48">
        <f t="shared" si="0"/>
        <v>334.18</v>
      </c>
      <c r="J48">
        <f t="shared" si="1"/>
        <v>330.22382163120182</v>
      </c>
      <c r="O48">
        <v>47</v>
      </c>
    </row>
    <row r="49" spans="1:15" x14ac:dyDescent="0.35">
      <c r="A49" s="6">
        <v>38687</v>
      </c>
      <c r="B49" t="s">
        <v>41</v>
      </c>
      <c r="C49">
        <v>220</v>
      </c>
      <c r="D49">
        <f t="shared" si="8"/>
        <v>224</v>
      </c>
      <c r="E49">
        <f t="shared" si="3"/>
        <v>227.625</v>
      </c>
      <c r="F49">
        <f t="shared" si="4"/>
        <v>1.0104338275672706</v>
      </c>
      <c r="G49">
        <f t="shared" si="6"/>
        <v>0.9785887606819349</v>
      </c>
      <c r="H49">
        <f t="shared" si="5"/>
        <v>224.81353643045298</v>
      </c>
      <c r="I49">
        <f t="shared" si="0"/>
        <v>341.27</v>
      </c>
      <c r="J49">
        <f t="shared" si="1"/>
        <v>333.96298635792391</v>
      </c>
      <c r="O49">
        <v>48</v>
      </c>
    </row>
    <row r="50" spans="1:15" x14ac:dyDescent="0.35">
      <c r="A50" s="6">
        <v>38718</v>
      </c>
      <c r="B50" t="s">
        <v>38</v>
      </c>
      <c r="C50">
        <v>230</v>
      </c>
      <c r="D50">
        <f t="shared" si="8"/>
        <v>231.25</v>
      </c>
      <c r="E50">
        <f t="shared" si="3"/>
        <v>234.375</v>
      </c>
      <c r="F50">
        <f t="shared" si="4"/>
        <v>1.0112000000000001</v>
      </c>
      <c r="G50">
        <f t="shared" si="6"/>
        <v>1.0186852443911212</v>
      </c>
      <c r="H50">
        <f t="shared" si="5"/>
        <v>225.7812226753843</v>
      </c>
      <c r="I50">
        <f t="shared" si="0"/>
        <v>348.35999999999996</v>
      </c>
      <c r="J50">
        <f t="shared" si="1"/>
        <v>354.86919173609095</v>
      </c>
      <c r="O50">
        <v>49</v>
      </c>
    </row>
    <row r="51" spans="1:15" x14ac:dyDescent="0.35">
      <c r="A51" s="6">
        <v>38808</v>
      </c>
      <c r="B51" t="s">
        <v>39</v>
      </c>
      <c r="C51">
        <v>237</v>
      </c>
      <c r="D51">
        <f t="shared" si="8"/>
        <v>237.5</v>
      </c>
      <c r="E51">
        <f t="shared" si="3"/>
        <v>246.875</v>
      </c>
      <c r="F51">
        <f t="shared" si="4"/>
        <v>0.96405063291139237</v>
      </c>
      <c r="G51">
        <f t="shared" si="6"/>
        <v>1.0095388248640527</v>
      </c>
      <c r="H51">
        <f t="shared" si="5"/>
        <v>234.76065918704521</v>
      </c>
      <c r="I51">
        <f t="shared" si="0"/>
        <v>355.45</v>
      </c>
      <c r="J51">
        <f t="shared" si="1"/>
        <v>358.8405752979275</v>
      </c>
      <c r="O51">
        <v>50</v>
      </c>
    </row>
    <row r="52" spans="1:15" x14ac:dyDescent="0.35">
      <c r="A52" s="6">
        <v>38930</v>
      </c>
      <c r="B52" t="s">
        <v>40</v>
      </c>
      <c r="C52">
        <v>238</v>
      </c>
      <c r="D52">
        <f t="shared" si="8"/>
        <v>256.25</v>
      </c>
      <c r="E52">
        <f t="shared" si="3"/>
        <v>265</v>
      </c>
      <c r="F52">
        <f t="shared" si="4"/>
        <v>0.92452830188679247</v>
      </c>
      <c r="G52">
        <f t="shared" si="6"/>
        <v>0.99330342081800238</v>
      </c>
      <c r="H52">
        <f t="shared" si="5"/>
        <v>239.60453071228017</v>
      </c>
      <c r="I52">
        <f t="shared" si="0"/>
        <v>362.53999999999996</v>
      </c>
      <c r="J52">
        <f t="shared" si="1"/>
        <v>360.11222218335854</v>
      </c>
      <c r="O52">
        <v>51</v>
      </c>
    </row>
    <row r="53" spans="1:15" x14ac:dyDescent="0.35">
      <c r="A53" s="6">
        <v>39052</v>
      </c>
      <c r="B53" t="s">
        <v>41</v>
      </c>
      <c r="C53">
        <v>245</v>
      </c>
      <c r="D53">
        <f t="shared" si="8"/>
        <v>273.75</v>
      </c>
      <c r="E53">
        <f t="shared" si="3"/>
        <v>282.875</v>
      </c>
      <c r="F53">
        <f t="shared" si="4"/>
        <v>1.0782147591692444</v>
      </c>
      <c r="G53">
        <f t="shared" si="6"/>
        <v>0.97995235318175655</v>
      </c>
      <c r="H53">
        <f t="shared" si="5"/>
        <v>250.01215539155774</v>
      </c>
      <c r="I53">
        <f t="shared" si="0"/>
        <v>369.63</v>
      </c>
      <c r="J53">
        <f t="shared" si="1"/>
        <v>362.2197883065727</v>
      </c>
      <c r="O53">
        <v>52</v>
      </c>
    </row>
    <row r="54" spans="1:15" x14ac:dyDescent="0.35">
      <c r="A54" s="6">
        <v>39083</v>
      </c>
      <c r="B54" t="s">
        <v>38</v>
      </c>
      <c r="C54">
        <v>305</v>
      </c>
      <c r="D54">
        <f t="shared" si="8"/>
        <v>292</v>
      </c>
      <c r="E54">
        <f t="shared" si="3"/>
        <v>301</v>
      </c>
      <c r="F54">
        <f t="shared" si="4"/>
        <v>1.0199335548172757</v>
      </c>
      <c r="G54">
        <f t="shared" si="6"/>
        <v>1.0131507828039006</v>
      </c>
      <c r="H54">
        <f t="shared" si="5"/>
        <v>301.04107421790741</v>
      </c>
      <c r="I54">
        <f t="shared" si="0"/>
        <v>376.71999999999997</v>
      </c>
      <c r="J54">
        <f t="shared" si="1"/>
        <v>381.67416289788542</v>
      </c>
      <c r="O54">
        <v>53</v>
      </c>
    </row>
    <row r="55" spans="1:15" x14ac:dyDescent="0.35">
      <c r="A55" s="6">
        <v>39173</v>
      </c>
      <c r="B55" t="s">
        <v>39</v>
      </c>
      <c r="C55">
        <v>307</v>
      </c>
      <c r="D55">
        <f t="shared" si="8"/>
        <v>310</v>
      </c>
      <c r="E55">
        <f t="shared" si="3"/>
        <v>309.125</v>
      </c>
      <c r="F55">
        <f t="shared" si="4"/>
        <v>1.0060655074807925</v>
      </c>
      <c r="G55">
        <f t="shared" si="6"/>
        <v>1.0111951366746359</v>
      </c>
      <c r="H55">
        <f t="shared" si="5"/>
        <v>303.6011437016839</v>
      </c>
      <c r="I55">
        <f t="shared" si="0"/>
        <v>383.81</v>
      </c>
      <c r="J55">
        <f t="shared" si="1"/>
        <v>388.106805407092</v>
      </c>
      <c r="O55">
        <v>54</v>
      </c>
    </row>
    <row r="56" spans="1:15" x14ac:dyDescent="0.35">
      <c r="A56" s="6">
        <v>39295</v>
      </c>
      <c r="B56" t="s">
        <v>40</v>
      </c>
      <c r="C56">
        <v>311</v>
      </c>
      <c r="D56">
        <f t="shared" si="8"/>
        <v>308.25</v>
      </c>
      <c r="E56">
        <f t="shared" si="3"/>
        <v>308</v>
      </c>
      <c r="F56">
        <f t="shared" si="4"/>
        <v>1.0292207792207793</v>
      </c>
      <c r="G56">
        <f t="shared" si="6"/>
        <v>0.98992735786783681</v>
      </c>
      <c r="H56">
        <f t="shared" si="5"/>
        <v>314.16446623906819</v>
      </c>
      <c r="I56">
        <f t="shared" si="0"/>
        <v>390.9</v>
      </c>
      <c r="J56">
        <f t="shared" si="1"/>
        <v>386.96260419053738</v>
      </c>
      <c r="O56">
        <v>55</v>
      </c>
    </row>
    <row r="57" spans="1:15" x14ac:dyDescent="0.35">
      <c r="A57" s="6">
        <v>39417</v>
      </c>
      <c r="B57" t="s">
        <v>41</v>
      </c>
      <c r="C57">
        <v>317</v>
      </c>
      <c r="D57">
        <f t="shared" si="8"/>
        <v>307.75</v>
      </c>
      <c r="E57">
        <f t="shared" si="3"/>
        <v>307.5</v>
      </c>
      <c r="F57">
        <f t="shared" si="4"/>
        <v>0.96910569105691058</v>
      </c>
      <c r="G57">
        <f t="shared" si="6"/>
        <v>0.96678352201292539</v>
      </c>
      <c r="H57">
        <f t="shared" si="5"/>
        <v>327.89139738333466</v>
      </c>
      <c r="I57">
        <f t="shared" si="0"/>
        <v>397.98999999999995</v>
      </c>
      <c r="J57">
        <f t="shared" si="1"/>
        <v>384.77017392592415</v>
      </c>
      <c r="O57">
        <v>56</v>
      </c>
    </row>
    <row r="58" spans="1:15" x14ac:dyDescent="0.35">
      <c r="A58" s="6">
        <v>39448</v>
      </c>
      <c r="B58" t="s">
        <v>38</v>
      </c>
      <c r="C58">
        <v>298</v>
      </c>
      <c r="D58">
        <f t="shared" si="8"/>
        <v>307.25</v>
      </c>
      <c r="E58">
        <f t="shared" si="3"/>
        <v>306.875</v>
      </c>
      <c r="F58">
        <f t="shared" si="4"/>
        <v>0.99389002036659879</v>
      </c>
      <c r="G58">
        <f t="shared" si="6"/>
        <v>1.0264518887879335</v>
      </c>
      <c r="H58">
        <f t="shared" si="5"/>
        <v>290.32047508031548</v>
      </c>
      <c r="I58">
        <f t="shared" si="0"/>
        <v>405.08</v>
      </c>
      <c r="J58">
        <f t="shared" si="1"/>
        <v>415.79513111021606</v>
      </c>
      <c r="O58">
        <v>57</v>
      </c>
    </row>
    <row r="59" spans="1:15" x14ac:dyDescent="0.35">
      <c r="A59" s="6">
        <v>39539</v>
      </c>
      <c r="B59" t="s">
        <v>39</v>
      </c>
      <c r="C59">
        <v>305</v>
      </c>
      <c r="D59">
        <f t="shared" si="8"/>
        <v>306.5</v>
      </c>
      <c r="E59">
        <f t="shared" si="3"/>
        <v>310.75</v>
      </c>
      <c r="F59">
        <f t="shared" si="4"/>
        <v>0.99436846339501206</v>
      </c>
      <c r="G59">
        <f t="shared" si="6"/>
        <v>1.0142466503212342</v>
      </c>
      <c r="H59">
        <f t="shared" si="5"/>
        <v>300.71580705087842</v>
      </c>
      <c r="I59">
        <f t="shared" si="0"/>
        <v>412.16999999999996</v>
      </c>
      <c r="J59">
        <f t="shared" si="1"/>
        <v>418.04204186290303</v>
      </c>
      <c r="O59">
        <v>58</v>
      </c>
    </row>
    <row r="60" spans="1:15" x14ac:dyDescent="0.35">
      <c r="A60" s="6">
        <v>39661</v>
      </c>
      <c r="B60" t="s">
        <v>40</v>
      </c>
      <c r="C60">
        <v>309</v>
      </c>
      <c r="D60">
        <f t="shared" si="8"/>
        <v>315</v>
      </c>
      <c r="E60">
        <f t="shared" si="3"/>
        <v>319.75</v>
      </c>
      <c r="F60">
        <f t="shared" si="4"/>
        <v>0.98201720093823297</v>
      </c>
      <c r="G60">
        <f t="shared" si="6"/>
        <v>0.99438851606433154</v>
      </c>
      <c r="H60">
        <f t="shared" si="5"/>
        <v>310.74373346846795</v>
      </c>
      <c r="I60">
        <f t="shared" si="0"/>
        <v>419.26</v>
      </c>
      <c r="J60">
        <f t="shared" si="1"/>
        <v>416.90732924513162</v>
      </c>
      <c r="O60">
        <v>59</v>
      </c>
    </row>
    <row r="61" spans="1:15" x14ac:dyDescent="0.35">
      <c r="A61" s="6">
        <v>39783</v>
      </c>
      <c r="B61" t="s">
        <v>41</v>
      </c>
      <c r="C61">
        <v>314</v>
      </c>
      <c r="D61">
        <f t="shared" si="8"/>
        <v>324.5</v>
      </c>
      <c r="E61">
        <f t="shared" si="3"/>
        <v>329.125</v>
      </c>
      <c r="F61">
        <f t="shared" si="4"/>
        <v>1.0087352829472085</v>
      </c>
      <c r="G61">
        <f t="shared" si="6"/>
        <v>0.98892639286605422</v>
      </c>
      <c r="H61">
        <f t="shared" si="5"/>
        <v>317.51604797398704</v>
      </c>
      <c r="I61">
        <f t="shared" si="0"/>
        <v>426.34999999999997</v>
      </c>
      <c r="J61">
        <f t="shared" si="1"/>
        <v>421.62876759844221</v>
      </c>
      <c r="O61">
        <v>60</v>
      </c>
    </row>
    <row r="62" spans="1:15" x14ac:dyDescent="0.35">
      <c r="A62" s="6">
        <v>39814</v>
      </c>
      <c r="B62" t="s">
        <v>38</v>
      </c>
      <c r="C62">
        <v>332</v>
      </c>
      <c r="D62">
        <f t="shared" si="8"/>
        <v>333.75</v>
      </c>
      <c r="E62">
        <f t="shared" si="3"/>
        <v>338</v>
      </c>
      <c r="F62">
        <f t="shared" si="4"/>
        <v>1.014792899408284</v>
      </c>
      <c r="G62">
        <f t="shared" si="6"/>
        <v>0.99641266589545996</v>
      </c>
      <c r="H62">
        <f t="shared" si="5"/>
        <v>333.19528280146557</v>
      </c>
      <c r="I62">
        <f t="shared" si="0"/>
        <v>433.44</v>
      </c>
      <c r="J62">
        <f t="shared" si="1"/>
        <v>431.88510590572815</v>
      </c>
      <c r="O62">
        <v>61</v>
      </c>
    </row>
    <row r="63" spans="1:15" x14ac:dyDescent="0.35">
      <c r="A63" s="6">
        <v>39904</v>
      </c>
      <c r="B63" t="s">
        <v>39</v>
      </c>
      <c r="C63">
        <v>343</v>
      </c>
      <c r="D63">
        <f t="shared" si="8"/>
        <v>342.25</v>
      </c>
      <c r="E63">
        <f t="shared" si="3"/>
        <v>353.25</v>
      </c>
      <c r="F63">
        <f t="shared" si="4"/>
        <v>0.97947629157820237</v>
      </c>
      <c r="G63">
        <f t="shared" si="6"/>
        <v>1.0048198585467325</v>
      </c>
      <c r="H63">
        <f t="shared" si="5"/>
        <v>341.35471854236613</v>
      </c>
      <c r="I63">
        <f t="shared" si="0"/>
        <v>440.53</v>
      </c>
      <c r="J63">
        <f t="shared" si="1"/>
        <v>442.65329228559204</v>
      </c>
      <c r="O63">
        <v>62</v>
      </c>
    </row>
    <row r="64" spans="1:15" x14ac:dyDescent="0.35">
      <c r="A64" s="6">
        <v>40026</v>
      </c>
      <c r="B64" t="s">
        <v>40</v>
      </c>
      <c r="C64">
        <v>346</v>
      </c>
      <c r="D64">
        <f t="shared" si="8"/>
        <v>364.25</v>
      </c>
      <c r="E64">
        <f t="shared" si="3"/>
        <v>374.75</v>
      </c>
      <c r="F64">
        <f t="shared" si="4"/>
        <v>0.92861907938625754</v>
      </c>
      <c r="G64">
        <f t="shared" si="6"/>
        <v>1.0118661322301696</v>
      </c>
      <c r="H64">
        <f t="shared" si="5"/>
        <v>341.94246548939265</v>
      </c>
      <c r="I64">
        <f t="shared" si="0"/>
        <v>447.62</v>
      </c>
      <c r="J64">
        <f t="shared" si="1"/>
        <v>452.93151810886854</v>
      </c>
      <c r="O64">
        <v>63</v>
      </c>
    </row>
    <row r="65" spans="1:15" x14ac:dyDescent="0.35">
      <c r="A65" s="6">
        <v>40148</v>
      </c>
      <c r="B65" t="s">
        <v>41</v>
      </c>
      <c r="C65">
        <v>348</v>
      </c>
      <c r="D65">
        <f t="shared" si="8"/>
        <v>385.25</v>
      </c>
      <c r="E65">
        <f t="shared" si="3"/>
        <v>395.625</v>
      </c>
      <c r="F65">
        <f t="shared" si="4"/>
        <v>1.061611374407583</v>
      </c>
      <c r="G65">
        <f t="shared" si="6"/>
        <v>1.0284491719669295</v>
      </c>
      <c r="H65">
        <f t="shared" si="5"/>
        <v>338.37355261266151</v>
      </c>
      <c r="I65">
        <f t="shared" si="0"/>
        <v>454.71</v>
      </c>
      <c r="J65">
        <f t="shared" si="1"/>
        <v>467.64612298508251</v>
      </c>
      <c r="O65">
        <v>64</v>
      </c>
    </row>
    <row r="66" spans="1:15" x14ac:dyDescent="0.35">
      <c r="A66" s="6">
        <v>40179</v>
      </c>
      <c r="B66" t="s">
        <v>38</v>
      </c>
      <c r="C66">
        <v>420</v>
      </c>
      <c r="D66">
        <f t="shared" si="8"/>
        <v>406</v>
      </c>
      <c r="E66">
        <f t="shared" si="3"/>
        <v>416.625</v>
      </c>
      <c r="F66">
        <f t="shared" si="4"/>
        <v>1.0249024902490249</v>
      </c>
      <c r="G66">
        <f t="shared" si="6"/>
        <v>0.96538665220404341</v>
      </c>
      <c r="H66">
        <f t="shared" si="5"/>
        <v>435.05884304605974</v>
      </c>
      <c r="I66">
        <f t="shared" si="0"/>
        <v>461.79999999999995</v>
      </c>
      <c r="J66">
        <f t="shared" si="1"/>
        <v>445.81555598782722</v>
      </c>
      <c r="O66">
        <v>65</v>
      </c>
    </row>
    <row r="67" spans="1:15" x14ac:dyDescent="0.35">
      <c r="A67" s="6">
        <v>40269</v>
      </c>
      <c r="B67" t="s">
        <v>39</v>
      </c>
      <c r="C67">
        <v>427</v>
      </c>
      <c r="D67">
        <f t="shared" si="8"/>
        <v>427.25</v>
      </c>
      <c r="E67">
        <f t="shared" si="3"/>
        <v>430.75</v>
      </c>
      <c r="F67">
        <f t="shared" si="4"/>
        <v>0.995937318630296</v>
      </c>
      <c r="G67">
        <f t="shared" si="6"/>
        <v>0.99168811058932782</v>
      </c>
      <c r="H67">
        <f t="shared" si="5"/>
        <v>430.57892440219723</v>
      </c>
      <c r="I67">
        <f t="shared" si="0"/>
        <v>468.89</v>
      </c>
      <c r="J67">
        <f t="shared" si="1"/>
        <v>464.99263817422991</v>
      </c>
      <c r="O67">
        <v>66</v>
      </c>
    </row>
    <row r="68" spans="1:15" x14ac:dyDescent="0.35">
      <c r="A68" s="6">
        <v>40391</v>
      </c>
      <c r="B68" t="s">
        <v>40</v>
      </c>
      <c r="C68">
        <v>429</v>
      </c>
      <c r="D68">
        <f t="shared" si="8"/>
        <v>434.25</v>
      </c>
      <c r="E68">
        <f t="shared" si="3"/>
        <v>437.5</v>
      </c>
      <c r="F68">
        <f t="shared" si="4"/>
        <v>0.98971428571428577</v>
      </c>
      <c r="G68">
        <f t="shared" si="6"/>
        <v>1.0116152229168072</v>
      </c>
      <c r="H68">
        <f t="shared" si="5"/>
        <v>424.07428267346262</v>
      </c>
      <c r="I68">
        <f t="shared" ref="I68:I109" si="9">(0.95+7.09*O68)</f>
        <v>475.97999999999996</v>
      </c>
      <c r="J68">
        <f t="shared" ref="J68:J110" si="10">(G68*I68)</f>
        <v>481.50861380394184</v>
      </c>
      <c r="O68">
        <v>67</v>
      </c>
    </row>
    <row r="69" spans="1:15" x14ac:dyDescent="0.35">
      <c r="A69" s="6">
        <v>40513</v>
      </c>
      <c r="B69" t="s">
        <v>41</v>
      </c>
      <c r="C69">
        <v>433</v>
      </c>
      <c r="D69">
        <f t="shared" si="8"/>
        <v>440.75</v>
      </c>
      <c r="E69">
        <f t="shared" ref="E69:E102" si="11">AVERAGE(D69:D70)</f>
        <v>444</v>
      </c>
      <c r="F69">
        <f t="shared" ref="F69:F102" si="12">C70/E69</f>
        <v>1.0090090090090089</v>
      </c>
      <c r="G69">
        <f t="shared" si="6"/>
        <v>1.0365527014972915</v>
      </c>
      <c r="H69">
        <f t="shared" ref="H69:H105" si="13">C69/G69</f>
        <v>417.73081038188911</v>
      </c>
      <c r="I69">
        <f t="shared" si="9"/>
        <v>483.07</v>
      </c>
      <c r="J69">
        <f t="shared" si="10"/>
        <v>500.72751351229658</v>
      </c>
      <c r="O69">
        <v>68</v>
      </c>
    </row>
    <row r="70" spans="1:15" x14ac:dyDescent="0.35">
      <c r="A70" s="6">
        <v>40544</v>
      </c>
      <c r="B70" t="s">
        <v>38</v>
      </c>
      <c r="C70">
        <v>448</v>
      </c>
      <c r="D70">
        <f t="shared" si="8"/>
        <v>447.25</v>
      </c>
      <c r="E70">
        <f t="shared" si="11"/>
        <v>451.625</v>
      </c>
      <c r="F70">
        <f t="shared" si="12"/>
        <v>1.0030445613063936</v>
      </c>
      <c r="G70">
        <f t="shared" ref="G70:G106" si="14">AVERAGE(F73,F77,F81)</f>
        <v>0.95850667840755366</v>
      </c>
      <c r="H70">
        <f t="shared" si="13"/>
        <v>467.39371784482444</v>
      </c>
      <c r="I70">
        <f t="shared" si="9"/>
        <v>490.15999999999997</v>
      </c>
      <c r="J70">
        <f t="shared" si="10"/>
        <v>469.82163348824645</v>
      </c>
      <c r="O70">
        <v>69</v>
      </c>
    </row>
    <row r="71" spans="1:15" x14ac:dyDescent="0.35">
      <c r="A71" s="6">
        <v>40634</v>
      </c>
      <c r="B71" t="s">
        <v>39</v>
      </c>
      <c r="C71">
        <v>453</v>
      </c>
      <c r="D71">
        <f t="shared" si="8"/>
        <v>456</v>
      </c>
      <c r="E71">
        <f t="shared" si="11"/>
        <v>451.5</v>
      </c>
      <c r="F71">
        <f t="shared" si="12"/>
        <v>1.0077519379844961</v>
      </c>
      <c r="G71">
        <f t="shared" si="14"/>
        <v>0.97380298340575389</v>
      </c>
      <c r="H71">
        <f t="shared" si="13"/>
        <v>465.18649841848838</v>
      </c>
      <c r="I71">
        <f t="shared" si="9"/>
        <v>497.25</v>
      </c>
      <c r="J71">
        <f t="shared" si="10"/>
        <v>484.22353349851113</v>
      </c>
      <c r="O71">
        <v>70</v>
      </c>
    </row>
    <row r="72" spans="1:15" x14ac:dyDescent="0.35">
      <c r="A72" s="6">
        <v>40756</v>
      </c>
      <c r="B72" t="s">
        <v>40</v>
      </c>
      <c r="C72">
        <v>455</v>
      </c>
      <c r="D72">
        <f t="shared" si="8"/>
        <v>447</v>
      </c>
      <c r="E72">
        <f t="shared" si="11"/>
        <v>446.375</v>
      </c>
      <c r="F72">
        <f t="shared" si="12"/>
        <v>1.0484458134976198</v>
      </c>
      <c r="G72">
        <f t="shared" si="14"/>
        <v>1.0237490181317439</v>
      </c>
      <c r="H72">
        <f t="shared" si="13"/>
        <v>444.44487070701842</v>
      </c>
      <c r="I72">
        <f t="shared" si="9"/>
        <v>504.34</v>
      </c>
      <c r="J72">
        <f t="shared" si="10"/>
        <v>516.31757980456371</v>
      </c>
      <c r="O72">
        <v>71</v>
      </c>
    </row>
    <row r="73" spans="1:15" x14ac:dyDescent="0.35">
      <c r="A73" s="6">
        <v>40878</v>
      </c>
      <c r="B73" t="s">
        <v>41</v>
      </c>
      <c r="C73">
        <v>468</v>
      </c>
      <c r="D73">
        <f t="shared" si="8"/>
        <v>445.75</v>
      </c>
      <c r="E73">
        <f t="shared" si="11"/>
        <v>448.5</v>
      </c>
      <c r="F73">
        <f t="shared" si="12"/>
        <v>0.91861761426978816</v>
      </c>
      <c r="G73">
        <f t="shared" si="14"/>
        <v>1.0340159994988765</v>
      </c>
      <c r="H73">
        <f t="shared" si="13"/>
        <v>452.60421524116708</v>
      </c>
      <c r="I73">
        <f t="shared" si="9"/>
        <v>511.43</v>
      </c>
      <c r="J73">
        <f t="shared" si="10"/>
        <v>528.82680262371036</v>
      </c>
      <c r="O73">
        <v>72</v>
      </c>
    </row>
    <row r="74" spans="1:15" x14ac:dyDescent="0.35">
      <c r="A74" s="6">
        <v>40909</v>
      </c>
      <c r="B74" t="s">
        <v>38</v>
      </c>
      <c r="C74">
        <v>412</v>
      </c>
      <c r="D74">
        <f t="shared" si="8"/>
        <v>451.25</v>
      </c>
      <c r="E74">
        <f t="shared" si="11"/>
        <v>454.125</v>
      </c>
      <c r="F74">
        <f t="shared" si="12"/>
        <v>0.98651252408477841</v>
      </c>
      <c r="G74">
        <f t="shared" si="14"/>
        <v>0.97849856437470917</v>
      </c>
      <c r="H74">
        <f t="shared" si="13"/>
        <v>421.05324933540476</v>
      </c>
      <c r="I74">
        <f t="shared" si="9"/>
        <v>518.52</v>
      </c>
      <c r="J74">
        <f t="shared" si="10"/>
        <v>507.37107559957417</v>
      </c>
      <c r="O74">
        <v>73</v>
      </c>
    </row>
    <row r="75" spans="1:15" x14ac:dyDescent="0.35">
      <c r="A75" s="6">
        <v>41000</v>
      </c>
      <c r="B75" t="s">
        <v>39</v>
      </c>
      <c r="C75">
        <v>448</v>
      </c>
      <c r="D75">
        <f t="shared" si="8"/>
        <v>457</v>
      </c>
      <c r="E75">
        <f t="shared" si="11"/>
        <v>462.25</v>
      </c>
      <c r="F75">
        <f t="shared" si="12"/>
        <v>1.0319091400757165</v>
      </c>
      <c r="G75">
        <f t="shared" si="14"/>
        <v>0.97577355618557549</v>
      </c>
      <c r="H75">
        <f t="shared" si="13"/>
        <v>459.1229155166796</v>
      </c>
      <c r="I75">
        <f t="shared" si="9"/>
        <v>525.61</v>
      </c>
      <c r="J75">
        <f t="shared" si="10"/>
        <v>512.87633886670039</v>
      </c>
      <c r="O75">
        <v>74</v>
      </c>
    </row>
    <row r="76" spans="1:15" x14ac:dyDescent="0.35">
      <c r="A76" s="6">
        <v>41122</v>
      </c>
      <c r="B76" t="s">
        <v>40</v>
      </c>
      <c r="C76">
        <v>477</v>
      </c>
      <c r="D76">
        <f t="shared" si="8"/>
        <v>467.5</v>
      </c>
      <c r="E76">
        <f t="shared" si="11"/>
        <v>468.875</v>
      </c>
      <c r="F76">
        <f t="shared" si="12"/>
        <v>1.047187416688883</v>
      </c>
      <c r="G76">
        <f t="shared" si="14"/>
        <v>1.0151731865293929</v>
      </c>
      <c r="H76">
        <f t="shared" si="13"/>
        <v>469.8705662535632</v>
      </c>
      <c r="I76">
        <f t="shared" si="9"/>
        <v>532.70000000000005</v>
      </c>
      <c r="J76">
        <f t="shared" si="10"/>
        <v>540.78275646420764</v>
      </c>
      <c r="O76">
        <v>75</v>
      </c>
    </row>
    <row r="77" spans="1:15" x14ac:dyDescent="0.35">
      <c r="A77" s="6">
        <v>41244</v>
      </c>
      <c r="B77" t="s">
        <v>41</v>
      </c>
      <c r="C77">
        <v>491</v>
      </c>
      <c r="D77">
        <f t="shared" si="8"/>
        <v>470.25</v>
      </c>
      <c r="E77">
        <f t="shared" si="11"/>
        <v>468.75</v>
      </c>
      <c r="F77">
        <f t="shared" si="12"/>
        <v>0.96853333333333336</v>
      </c>
      <c r="G77">
        <f t="shared" si="14"/>
        <v>1.0212212725305698</v>
      </c>
      <c r="H77">
        <f t="shared" si="13"/>
        <v>480.79687841138474</v>
      </c>
      <c r="I77">
        <f t="shared" si="9"/>
        <v>539.79000000000008</v>
      </c>
      <c r="J77">
        <f t="shared" si="10"/>
        <v>551.24503069927641</v>
      </c>
      <c r="O77">
        <v>76</v>
      </c>
    </row>
    <row r="78" spans="1:15" x14ac:dyDescent="0.35">
      <c r="A78" s="6">
        <v>41275</v>
      </c>
      <c r="B78" t="s">
        <v>38</v>
      </c>
      <c r="C78">
        <v>454</v>
      </c>
      <c r="D78">
        <f t="shared" si="8"/>
        <v>467.25</v>
      </c>
      <c r="E78">
        <f t="shared" si="11"/>
        <v>465.75</v>
      </c>
      <c r="F78">
        <f t="shared" si="12"/>
        <v>0.98550724637681164</v>
      </c>
      <c r="G78">
        <f t="shared" si="14"/>
        <v>0.98589147803139976</v>
      </c>
      <c r="H78">
        <f t="shared" si="13"/>
        <v>460.49693106845223</v>
      </c>
      <c r="I78">
        <f t="shared" si="9"/>
        <v>546.88</v>
      </c>
      <c r="J78">
        <f t="shared" si="10"/>
        <v>539.1643315058119</v>
      </c>
      <c r="O78">
        <v>77</v>
      </c>
    </row>
    <row r="79" spans="1:15" x14ac:dyDescent="0.35">
      <c r="A79" s="6">
        <v>41365</v>
      </c>
      <c r="B79" t="s">
        <v>39</v>
      </c>
      <c r="C79">
        <v>459</v>
      </c>
      <c r="D79">
        <f t="shared" si="8"/>
        <v>464.25</v>
      </c>
      <c r="E79">
        <f t="shared" si="11"/>
        <v>467.25</v>
      </c>
      <c r="F79">
        <f t="shared" si="12"/>
        <v>0.9951845906902087</v>
      </c>
      <c r="G79">
        <f t="shared" si="14"/>
        <v>0.97790734570839277</v>
      </c>
      <c r="H79">
        <f t="shared" si="13"/>
        <v>469.36962076657881</v>
      </c>
      <c r="I79">
        <f t="shared" si="9"/>
        <v>553.97</v>
      </c>
      <c r="J79">
        <f t="shared" si="10"/>
        <v>541.73133230207839</v>
      </c>
      <c r="O79">
        <v>78</v>
      </c>
    </row>
    <row r="80" spans="1:15" x14ac:dyDescent="0.35">
      <c r="A80" s="6">
        <v>41487</v>
      </c>
      <c r="B80" t="s">
        <v>40</v>
      </c>
      <c r="C80">
        <v>465</v>
      </c>
      <c r="D80">
        <f t="shared" si="8"/>
        <v>470.25</v>
      </c>
      <c r="E80">
        <f t="shared" si="11"/>
        <v>472.375</v>
      </c>
      <c r="F80">
        <f t="shared" si="12"/>
        <v>1.0140248743053717</v>
      </c>
      <c r="G80">
        <f t="shared" si="14"/>
        <v>1.007495622544049</v>
      </c>
      <c r="H80">
        <f t="shared" si="13"/>
        <v>461.54046687152686</v>
      </c>
      <c r="I80">
        <f t="shared" si="9"/>
        <v>561.06000000000006</v>
      </c>
      <c r="J80">
        <f t="shared" si="10"/>
        <v>565.26549398456416</v>
      </c>
      <c r="O80">
        <v>79</v>
      </c>
    </row>
    <row r="81" spans="1:15" x14ac:dyDescent="0.35">
      <c r="A81" s="6">
        <v>41609</v>
      </c>
      <c r="B81" t="s">
        <v>41</v>
      </c>
      <c r="C81">
        <v>479</v>
      </c>
      <c r="D81">
        <f t="shared" si="8"/>
        <v>474.5</v>
      </c>
      <c r="E81">
        <f t="shared" si="11"/>
        <v>483.625</v>
      </c>
      <c r="F81">
        <f t="shared" si="12"/>
        <v>0.9883690876195399</v>
      </c>
      <c r="G81">
        <f t="shared" si="14"/>
        <v>0.99190580572150278</v>
      </c>
      <c r="H81">
        <f t="shared" si="13"/>
        <v>482.90875730037692</v>
      </c>
      <c r="I81">
        <f t="shared" si="9"/>
        <v>568.15000000000009</v>
      </c>
      <c r="J81">
        <f t="shared" si="10"/>
        <v>563.55128352067186</v>
      </c>
      <c r="O81">
        <v>80</v>
      </c>
    </row>
    <row r="82" spans="1:15" x14ac:dyDescent="0.35">
      <c r="A82" s="6">
        <v>41640</v>
      </c>
      <c r="B82" t="s">
        <v>38</v>
      </c>
      <c r="C82">
        <v>478</v>
      </c>
      <c r="D82">
        <f t="shared" si="8"/>
        <v>492.75</v>
      </c>
      <c r="E82">
        <f t="shared" si="11"/>
        <v>501.375</v>
      </c>
      <c r="F82">
        <f t="shared" si="12"/>
        <v>0.94938917975567194</v>
      </c>
      <c r="G82">
        <f t="shared" si="14"/>
        <v>1.016249475305913</v>
      </c>
      <c r="H82">
        <f t="shared" si="13"/>
        <v>470.35694641427654</v>
      </c>
      <c r="I82">
        <f t="shared" si="9"/>
        <v>575.24</v>
      </c>
      <c r="J82">
        <f t="shared" si="10"/>
        <v>584.58734817497339</v>
      </c>
      <c r="O82">
        <v>81</v>
      </c>
    </row>
    <row r="83" spans="1:15" x14ac:dyDescent="0.35">
      <c r="A83" s="6">
        <v>41730</v>
      </c>
      <c r="B83" t="s">
        <v>39</v>
      </c>
      <c r="C83">
        <v>476</v>
      </c>
      <c r="D83">
        <f t="shared" si="8"/>
        <v>510</v>
      </c>
      <c r="E83">
        <f t="shared" si="11"/>
        <v>515.25</v>
      </c>
      <c r="F83">
        <f t="shared" si="12"/>
        <v>1.0441533236293061</v>
      </c>
      <c r="G83">
        <f t="shared" si="14"/>
        <v>0.99710139913866092</v>
      </c>
      <c r="H83">
        <f t="shared" si="13"/>
        <v>477.38374493425573</v>
      </c>
      <c r="I83">
        <f t="shared" si="9"/>
        <v>582.33000000000004</v>
      </c>
      <c r="J83">
        <f t="shared" si="10"/>
        <v>580.64205776041649</v>
      </c>
      <c r="O83">
        <v>82</v>
      </c>
    </row>
    <row r="84" spans="1:15" x14ac:dyDescent="0.35">
      <c r="A84" s="6">
        <v>41852</v>
      </c>
      <c r="B84" t="s">
        <v>40</v>
      </c>
      <c r="C84">
        <v>538</v>
      </c>
      <c r="D84">
        <f t="shared" si="8"/>
        <v>520.5</v>
      </c>
      <c r="E84">
        <f t="shared" si="11"/>
        <v>526.5</v>
      </c>
      <c r="F84">
        <f t="shared" si="12"/>
        <v>1.0408357075023742</v>
      </c>
      <c r="G84">
        <f t="shared" si="14"/>
        <v>0.99547360375293747</v>
      </c>
      <c r="H84">
        <f t="shared" si="13"/>
        <v>540.44627398631053</v>
      </c>
      <c r="I84">
        <f t="shared" si="9"/>
        <v>589.42000000000007</v>
      </c>
      <c r="J84">
        <f t="shared" si="10"/>
        <v>586.75205152405647</v>
      </c>
      <c r="O84">
        <v>83</v>
      </c>
    </row>
    <row r="85" spans="1:15" x14ac:dyDescent="0.35">
      <c r="A85" s="6">
        <v>41974</v>
      </c>
      <c r="B85" t="s">
        <v>41</v>
      </c>
      <c r="C85">
        <v>548</v>
      </c>
      <c r="D85">
        <f t="shared" ref="D85:D102" si="15">AVERAGE(C84:C87)</f>
        <v>532.5</v>
      </c>
      <c r="E85">
        <f t="shared" si="11"/>
        <v>531.375</v>
      </c>
      <c r="F85">
        <f t="shared" si="12"/>
        <v>0.9785932721712538</v>
      </c>
      <c r="G85">
        <f t="shared" si="14"/>
        <v>0.97947615696970036</v>
      </c>
      <c r="H85">
        <f t="shared" si="13"/>
        <v>559.48273584872175</v>
      </c>
      <c r="I85">
        <f t="shared" si="9"/>
        <v>596.51</v>
      </c>
      <c r="J85">
        <f t="shared" si="10"/>
        <v>584.26732239399598</v>
      </c>
      <c r="O85">
        <v>84</v>
      </c>
    </row>
    <row r="86" spans="1:15" x14ac:dyDescent="0.35">
      <c r="A86" s="6">
        <v>42005</v>
      </c>
      <c r="B86" t="s">
        <v>38</v>
      </c>
      <c r="C86">
        <v>520</v>
      </c>
      <c r="D86">
        <f t="shared" si="15"/>
        <v>530.25</v>
      </c>
      <c r="E86">
        <f t="shared" si="11"/>
        <v>528</v>
      </c>
      <c r="F86">
        <f t="shared" si="12"/>
        <v>0.99242424242424243</v>
      </c>
      <c r="G86">
        <f t="shared" si="14"/>
        <v>1.0236325147479624</v>
      </c>
      <c r="H86">
        <f t="shared" si="13"/>
        <v>507.99480527250915</v>
      </c>
      <c r="I86">
        <f t="shared" si="9"/>
        <v>603.6</v>
      </c>
      <c r="J86">
        <f t="shared" si="10"/>
        <v>617.8645859018701</v>
      </c>
      <c r="O86">
        <v>85</v>
      </c>
    </row>
    <row r="87" spans="1:15" x14ac:dyDescent="0.35">
      <c r="A87" s="6">
        <v>42095</v>
      </c>
      <c r="B87" t="s">
        <v>39</v>
      </c>
      <c r="C87">
        <v>524</v>
      </c>
      <c r="D87">
        <f t="shared" si="15"/>
        <v>525.75</v>
      </c>
      <c r="E87">
        <f t="shared" si="11"/>
        <v>525.75</v>
      </c>
      <c r="F87">
        <f t="shared" si="12"/>
        <v>1.0061816452686638</v>
      </c>
      <c r="G87">
        <f t="shared" si="14"/>
        <v>0.99962665166391329</v>
      </c>
      <c r="H87">
        <f t="shared" si="13"/>
        <v>524.19570759521446</v>
      </c>
      <c r="I87">
        <f t="shared" si="9"/>
        <v>610.69000000000005</v>
      </c>
      <c r="J87">
        <f t="shared" si="10"/>
        <v>610.46199990463526</v>
      </c>
      <c r="O87">
        <v>86</v>
      </c>
    </row>
    <row r="88" spans="1:15" x14ac:dyDescent="0.35">
      <c r="A88" s="6">
        <v>42217</v>
      </c>
      <c r="B88" t="s">
        <v>40</v>
      </c>
      <c r="C88">
        <v>529</v>
      </c>
      <c r="D88">
        <f t="shared" si="15"/>
        <v>525.75</v>
      </c>
      <c r="E88">
        <f t="shared" si="11"/>
        <v>525.375</v>
      </c>
      <c r="F88">
        <f t="shared" si="12"/>
        <v>1.0088032357839638</v>
      </c>
      <c r="G88">
        <f t="shared" si="14"/>
        <v>0.99126962952320274</v>
      </c>
      <c r="H88">
        <f t="shared" si="13"/>
        <v>533.65904113742204</v>
      </c>
      <c r="I88">
        <f t="shared" si="9"/>
        <v>617.78000000000009</v>
      </c>
      <c r="J88">
        <f t="shared" si="10"/>
        <v>612.38655172684423</v>
      </c>
      <c r="O88">
        <v>87</v>
      </c>
    </row>
    <row r="89" spans="1:15" x14ac:dyDescent="0.35">
      <c r="A89" s="6">
        <v>42339</v>
      </c>
      <c r="B89" t="s">
        <v>41</v>
      </c>
      <c r="C89">
        <v>530</v>
      </c>
      <c r="D89">
        <f t="shared" si="15"/>
        <v>525</v>
      </c>
      <c r="E89">
        <f t="shared" si="11"/>
        <v>524.875</v>
      </c>
      <c r="F89">
        <f t="shared" si="12"/>
        <v>0.99071207430340558</v>
      </c>
      <c r="G89">
        <f t="shared" si="14"/>
        <v>0.97056673146213601</v>
      </c>
      <c r="H89">
        <f t="shared" si="13"/>
        <v>546.07270455434571</v>
      </c>
      <c r="I89">
        <f t="shared" si="9"/>
        <v>624.87</v>
      </c>
      <c r="J89">
        <f t="shared" si="10"/>
        <v>606.47803348874493</v>
      </c>
      <c r="O89">
        <v>88</v>
      </c>
    </row>
    <row r="90" spans="1:15" x14ac:dyDescent="0.35">
      <c r="A90" s="6">
        <v>42370</v>
      </c>
      <c r="B90" t="s">
        <v>38</v>
      </c>
      <c r="C90">
        <v>520</v>
      </c>
      <c r="D90">
        <f t="shared" si="15"/>
        <v>524.75</v>
      </c>
      <c r="E90">
        <f t="shared" si="11"/>
        <v>525.25</v>
      </c>
      <c r="F90">
        <f t="shared" si="12"/>
        <v>0.99190861494526417</v>
      </c>
      <c r="G90">
        <f t="shared" si="14"/>
        <v>1.0313028379870515</v>
      </c>
      <c r="H90">
        <f t="shared" si="13"/>
        <v>504.21658977974118</v>
      </c>
      <c r="I90">
        <f t="shared" si="9"/>
        <v>631.96</v>
      </c>
      <c r="J90">
        <f t="shared" si="10"/>
        <v>651.74214149429713</v>
      </c>
      <c r="O90">
        <v>89</v>
      </c>
    </row>
    <row r="91" spans="1:15" x14ac:dyDescent="0.35">
      <c r="A91" s="6">
        <v>42461</v>
      </c>
      <c r="B91" t="s">
        <v>39</v>
      </c>
      <c r="C91">
        <v>521</v>
      </c>
      <c r="D91">
        <f t="shared" si="15"/>
        <v>525.75</v>
      </c>
      <c r="E91">
        <f t="shared" si="11"/>
        <v>543.125</v>
      </c>
      <c r="F91">
        <f t="shared" si="12"/>
        <v>0.97215189873417718</v>
      </c>
      <c r="G91">
        <f t="shared" si="14"/>
        <v>1.0048968794306965</v>
      </c>
      <c r="H91">
        <f t="shared" si="13"/>
        <v>518.46115821870376</v>
      </c>
      <c r="I91">
        <f t="shared" si="9"/>
        <v>639.05000000000007</v>
      </c>
      <c r="J91">
        <f t="shared" si="10"/>
        <v>642.17935080018663</v>
      </c>
      <c r="O91">
        <v>90</v>
      </c>
    </row>
    <row r="92" spans="1:15" x14ac:dyDescent="0.35">
      <c r="A92" s="6">
        <v>42583</v>
      </c>
      <c r="B92" t="s">
        <v>40</v>
      </c>
      <c r="C92">
        <v>528</v>
      </c>
      <c r="D92">
        <f t="shared" si="15"/>
        <v>560.5</v>
      </c>
      <c r="E92">
        <f t="shared" si="11"/>
        <v>576.625</v>
      </c>
      <c r="F92">
        <f t="shared" si="12"/>
        <v>0.92607847387817044</v>
      </c>
      <c r="G92">
        <f t="shared" si="14"/>
        <v>1.0008284949177155</v>
      </c>
      <c r="H92">
        <f t="shared" si="13"/>
        <v>527.56291680465222</v>
      </c>
      <c r="I92">
        <f t="shared" si="9"/>
        <v>646.14</v>
      </c>
      <c r="J92">
        <f t="shared" si="10"/>
        <v>646.67532370613264</v>
      </c>
      <c r="O92">
        <v>91</v>
      </c>
    </row>
    <row r="93" spans="1:15" x14ac:dyDescent="0.35">
      <c r="A93" s="6">
        <v>42705</v>
      </c>
      <c r="B93" t="s">
        <v>41</v>
      </c>
      <c r="C93">
        <v>534</v>
      </c>
      <c r="D93">
        <f t="shared" si="15"/>
        <v>592.75</v>
      </c>
      <c r="E93">
        <f t="shared" si="11"/>
        <v>610.5</v>
      </c>
      <c r="F93">
        <f t="shared" si="12"/>
        <v>1.0794430794430794</v>
      </c>
      <c r="G93">
        <f t="shared" si="14"/>
        <v>0.9928108602541188</v>
      </c>
      <c r="H93">
        <f t="shared" si="13"/>
        <v>537.86679958690013</v>
      </c>
      <c r="I93">
        <f t="shared" si="9"/>
        <v>653.23</v>
      </c>
      <c r="J93">
        <f t="shared" si="10"/>
        <v>648.53383824379807</v>
      </c>
      <c r="O93">
        <v>92</v>
      </c>
    </row>
    <row r="94" spans="1:15" x14ac:dyDescent="0.35">
      <c r="A94" s="6">
        <v>42736</v>
      </c>
      <c r="B94" t="s">
        <v>38</v>
      </c>
      <c r="C94">
        <v>659</v>
      </c>
      <c r="D94">
        <f t="shared" si="15"/>
        <v>628.25</v>
      </c>
      <c r="E94">
        <f t="shared" si="11"/>
        <v>645.5</v>
      </c>
      <c r="F94">
        <f t="shared" si="12"/>
        <v>1.0069713400464757</v>
      </c>
      <c r="G94">
        <f>AVERAGE(F97,F101,F105)</f>
        <v>1.0072327172590376</v>
      </c>
      <c r="H94">
        <f t="shared" si="13"/>
        <v>654.26786551704117</v>
      </c>
      <c r="I94">
        <f t="shared" si="9"/>
        <v>660.32</v>
      </c>
      <c r="J94">
        <f t="shared" si="10"/>
        <v>665.09590786048773</v>
      </c>
      <c r="O94">
        <v>93</v>
      </c>
    </row>
    <row r="95" spans="1:15" x14ac:dyDescent="0.35">
      <c r="A95" s="6">
        <v>42826</v>
      </c>
      <c r="B95" t="s">
        <v>39</v>
      </c>
      <c r="C95">
        <v>650</v>
      </c>
      <c r="D95">
        <f t="shared" si="15"/>
        <v>662.75</v>
      </c>
      <c r="E95">
        <f t="shared" si="11"/>
        <v>664.625</v>
      </c>
      <c r="F95">
        <f t="shared" si="12"/>
        <v>1.0080872672559713</v>
      </c>
      <c r="G95">
        <v>1.0162500000000001</v>
      </c>
      <c r="H95">
        <f t="shared" si="13"/>
        <v>639.60639606396057</v>
      </c>
      <c r="I95">
        <f t="shared" si="9"/>
        <v>667.41000000000008</v>
      </c>
      <c r="J95">
        <f t="shared" si="10"/>
        <v>678.25541250000015</v>
      </c>
      <c r="O95">
        <v>94</v>
      </c>
    </row>
    <row r="96" spans="1:15" x14ac:dyDescent="0.35">
      <c r="A96" s="6">
        <v>42948</v>
      </c>
      <c r="B96" t="s">
        <v>40</v>
      </c>
      <c r="C96">
        <v>670</v>
      </c>
      <c r="D96">
        <f t="shared" si="15"/>
        <v>666.5</v>
      </c>
      <c r="E96">
        <f t="shared" si="11"/>
        <v>669.625</v>
      </c>
      <c r="F96">
        <f t="shared" si="12"/>
        <v>1.0035467612469666</v>
      </c>
      <c r="G96">
        <v>0.99709999999999999</v>
      </c>
      <c r="H96">
        <f t="shared" si="13"/>
        <v>671.94865108815566</v>
      </c>
      <c r="I96">
        <f t="shared" si="9"/>
        <v>674.5</v>
      </c>
      <c r="J96">
        <f t="shared" si="10"/>
        <v>672.54395</v>
      </c>
      <c r="O96">
        <v>95</v>
      </c>
    </row>
    <row r="97" spans="1:15" x14ac:dyDescent="0.35">
      <c r="A97" s="6">
        <v>43070</v>
      </c>
      <c r="B97" t="s">
        <v>41</v>
      </c>
      <c r="C97">
        <v>672</v>
      </c>
      <c r="D97">
        <f t="shared" si="15"/>
        <v>672.75</v>
      </c>
      <c r="E97">
        <f t="shared" si="11"/>
        <v>673.5</v>
      </c>
      <c r="F97">
        <f t="shared" si="12"/>
        <v>1.0007423904974015</v>
      </c>
      <c r="G97">
        <v>0.99539999999999995</v>
      </c>
      <c r="H97">
        <f t="shared" si="13"/>
        <v>675.10548523206751</v>
      </c>
      <c r="I97">
        <f t="shared" si="9"/>
        <v>681.59</v>
      </c>
      <c r="J97">
        <f t="shared" si="10"/>
        <v>678.45468600000004</v>
      </c>
      <c r="O97">
        <v>96</v>
      </c>
    </row>
    <row r="98" spans="1:15" x14ac:dyDescent="0.35">
      <c r="A98" s="6">
        <v>43101</v>
      </c>
      <c r="B98" t="s">
        <v>38</v>
      </c>
      <c r="C98">
        <v>674</v>
      </c>
      <c r="D98">
        <f t="shared" si="15"/>
        <v>674.25</v>
      </c>
      <c r="E98">
        <f t="shared" si="11"/>
        <v>675</v>
      </c>
      <c r="F98">
        <f>C99/E98</f>
        <v>1</v>
      </c>
      <c r="G98">
        <v>0.97899999999999998</v>
      </c>
      <c r="H98">
        <f t="shared" si="13"/>
        <v>688.45760980592445</v>
      </c>
      <c r="I98">
        <f t="shared" si="9"/>
        <v>688.68000000000006</v>
      </c>
      <c r="J98">
        <f t="shared" si="10"/>
        <v>674.2177200000001</v>
      </c>
      <c r="O98">
        <v>97</v>
      </c>
    </row>
    <row r="99" spans="1:15" x14ac:dyDescent="0.35">
      <c r="A99" s="6">
        <v>43191</v>
      </c>
      <c r="B99" t="s">
        <v>39</v>
      </c>
      <c r="C99">
        <v>675</v>
      </c>
      <c r="D99">
        <f t="shared" si="15"/>
        <v>675.75</v>
      </c>
      <c r="E99">
        <f t="shared" si="11"/>
        <v>680.375</v>
      </c>
      <c r="F99">
        <f t="shared" si="12"/>
        <v>0.99356972257945986</v>
      </c>
      <c r="G99">
        <v>1.0229999999999999</v>
      </c>
      <c r="H99">
        <f t="shared" si="13"/>
        <v>659.82404692082116</v>
      </c>
      <c r="I99">
        <f t="shared" si="9"/>
        <v>695.77</v>
      </c>
      <c r="J99">
        <f t="shared" si="10"/>
        <v>711.77270999999996</v>
      </c>
      <c r="O99">
        <v>98</v>
      </c>
    </row>
    <row r="100" spans="1:15" x14ac:dyDescent="0.35">
      <c r="A100" s="6">
        <v>43313</v>
      </c>
      <c r="B100" t="s">
        <v>40</v>
      </c>
      <c r="C100">
        <v>676</v>
      </c>
      <c r="D100">
        <f t="shared" si="15"/>
        <v>685</v>
      </c>
      <c r="E100">
        <f t="shared" si="11"/>
        <v>690.375</v>
      </c>
      <c r="F100">
        <f t="shared" si="12"/>
        <v>0.98207495926127109</v>
      </c>
      <c r="G100">
        <v>0.99629999999999996</v>
      </c>
      <c r="H100">
        <f t="shared" si="13"/>
        <v>678.51048880859184</v>
      </c>
      <c r="I100">
        <f t="shared" si="9"/>
        <v>702.86</v>
      </c>
      <c r="J100">
        <f t="shared" si="10"/>
        <v>700.25941799999998</v>
      </c>
      <c r="O100">
        <v>99</v>
      </c>
    </row>
    <row r="101" spans="1:15" x14ac:dyDescent="0.35">
      <c r="A101" s="6">
        <v>43435</v>
      </c>
      <c r="B101" t="s">
        <v>41</v>
      </c>
      <c r="C101">
        <v>678</v>
      </c>
      <c r="D101">
        <f t="shared" si="15"/>
        <v>695.75</v>
      </c>
      <c r="E101">
        <f t="shared" si="11"/>
        <v>701.375</v>
      </c>
      <c r="F101">
        <f t="shared" si="12"/>
        <v>1.0137230440206737</v>
      </c>
      <c r="G101">
        <v>0.99126999999999998</v>
      </c>
      <c r="H101">
        <f t="shared" si="13"/>
        <v>683.97106741856408</v>
      </c>
      <c r="I101">
        <f t="shared" si="9"/>
        <v>709.95</v>
      </c>
      <c r="J101">
        <f t="shared" si="10"/>
        <v>703.75213650000001</v>
      </c>
      <c r="O101">
        <v>100</v>
      </c>
    </row>
    <row r="102" spans="1:15" x14ac:dyDescent="0.35">
      <c r="A102" s="6">
        <v>43466</v>
      </c>
      <c r="B102" t="s">
        <v>38</v>
      </c>
      <c r="C102">
        <v>711</v>
      </c>
      <c r="D102">
        <f>AVERAGE(C101:C104)</f>
        <v>707</v>
      </c>
      <c r="E102">
        <f t="shared" si="11"/>
        <v>712.5</v>
      </c>
      <c r="F102">
        <f>C103/E102</f>
        <v>1.007719298245614</v>
      </c>
      <c r="G102">
        <v>0.97057000000000004</v>
      </c>
      <c r="H102">
        <f t="shared" si="13"/>
        <v>732.55921777924311</v>
      </c>
      <c r="I102">
        <f t="shared" si="9"/>
        <v>717.04000000000008</v>
      </c>
      <c r="J102">
        <f t="shared" si="10"/>
        <v>695.93751280000015</v>
      </c>
      <c r="O102">
        <v>101</v>
      </c>
    </row>
    <row r="103" spans="1:15" x14ac:dyDescent="0.35">
      <c r="A103" s="6">
        <v>43556</v>
      </c>
      <c r="B103" t="s">
        <v>39</v>
      </c>
      <c r="C103">
        <v>718</v>
      </c>
      <c r="D103">
        <f>AVERAGE(C102:C105)</f>
        <v>718</v>
      </c>
      <c r="G103">
        <v>1.0313000000000001</v>
      </c>
      <c r="H103">
        <f t="shared" si="13"/>
        <v>696.20866867060988</v>
      </c>
      <c r="I103">
        <f t="shared" si="9"/>
        <v>724.13</v>
      </c>
      <c r="J103">
        <f t="shared" si="10"/>
        <v>746.79526900000008</v>
      </c>
      <c r="O103">
        <v>102</v>
      </c>
    </row>
    <row r="104" spans="1:15" x14ac:dyDescent="0.35">
      <c r="A104" s="6">
        <v>43678</v>
      </c>
      <c r="B104" t="s">
        <v>40</v>
      </c>
      <c r="C104">
        <v>721</v>
      </c>
      <c r="G104">
        <v>1.0048999999999999</v>
      </c>
      <c r="H104">
        <f t="shared" si="13"/>
        <v>717.48432679868654</v>
      </c>
      <c r="I104">
        <f t="shared" si="9"/>
        <v>731.22</v>
      </c>
      <c r="J104">
        <f t="shared" si="10"/>
        <v>734.80297799999994</v>
      </c>
      <c r="O104">
        <v>103</v>
      </c>
    </row>
    <row r="105" spans="1:15" x14ac:dyDescent="0.35">
      <c r="A105" s="6">
        <v>43800</v>
      </c>
      <c r="B105" t="s">
        <v>41</v>
      </c>
      <c r="C105">
        <v>722</v>
      </c>
      <c r="G105">
        <v>1.0008300000000001</v>
      </c>
      <c r="H105">
        <f t="shared" si="13"/>
        <v>721.40123697331205</v>
      </c>
      <c r="I105">
        <f t="shared" si="9"/>
        <v>738.31000000000006</v>
      </c>
      <c r="J105">
        <f t="shared" si="10"/>
        <v>738.92279730000018</v>
      </c>
      <c r="O105">
        <v>104</v>
      </c>
    </row>
    <row r="106" spans="1:15" x14ac:dyDescent="0.35">
      <c r="A106" s="6">
        <v>43831</v>
      </c>
      <c r="B106" s="7" t="s">
        <v>38</v>
      </c>
      <c r="C106" s="7" t="s">
        <v>37</v>
      </c>
      <c r="G106">
        <v>0.99280999999999997</v>
      </c>
      <c r="I106">
        <f t="shared" si="9"/>
        <v>745.4</v>
      </c>
      <c r="J106" s="7">
        <f t="shared" si="10"/>
        <v>740.04057399999999</v>
      </c>
      <c r="O106">
        <v>105</v>
      </c>
    </row>
    <row r="107" spans="1:15" x14ac:dyDescent="0.35">
      <c r="A107" s="6">
        <v>43922</v>
      </c>
      <c r="B107" s="7" t="s">
        <v>39</v>
      </c>
      <c r="C107" s="7" t="s">
        <v>37</v>
      </c>
      <c r="G107">
        <v>1.0072300000000001</v>
      </c>
      <c r="I107">
        <f t="shared" si="9"/>
        <v>752.49</v>
      </c>
      <c r="J107" s="7">
        <f t="shared" si="10"/>
        <v>757.93050270000003</v>
      </c>
      <c r="K107">
        <f>SUM(J106:J109)</f>
        <v>3035.9509157000007</v>
      </c>
      <c r="L107" t="s">
        <v>43</v>
      </c>
      <c r="O107">
        <v>106</v>
      </c>
    </row>
    <row r="108" spans="1:15" x14ac:dyDescent="0.35">
      <c r="A108" s="6">
        <v>44044</v>
      </c>
      <c r="B108" s="7" t="s">
        <v>40</v>
      </c>
      <c r="C108" s="7" t="s">
        <v>37</v>
      </c>
      <c r="G108">
        <v>1.0162500000000001</v>
      </c>
      <c r="I108">
        <f t="shared" si="9"/>
        <v>759.58</v>
      </c>
      <c r="J108" s="7">
        <f t="shared" si="10"/>
        <v>771.92317500000013</v>
      </c>
      <c r="O108">
        <v>107</v>
      </c>
    </row>
    <row r="109" spans="1:15" x14ac:dyDescent="0.35">
      <c r="A109" s="6">
        <v>44166</v>
      </c>
      <c r="B109" s="7" t="s">
        <v>41</v>
      </c>
      <c r="C109" s="7" t="s">
        <v>37</v>
      </c>
      <c r="G109">
        <v>0.99919999999999998</v>
      </c>
      <c r="I109">
        <f t="shared" si="9"/>
        <v>766.67000000000007</v>
      </c>
      <c r="J109" s="7">
        <f t="shared" si="10"/>
        <v>766.05666400000007</v>
      </c>
      <c r="O109">
        <v>108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yeshwanth buggaveeti</dc:creator>
  <cp:lastModifiedBy>yeshwanth buggaveeti</cp:lastModifiedBy>
  <dcterms:created xsi:type="dcterms:W3CDTF">2015-06-05T18:17:20Z</dcterms:created>
  <dcterms:modified xsi:type="dcterms:W3CDTF">2021-06-16T10:15:27Z</dcterms:modified>
</cp:coreProperties>
</file>